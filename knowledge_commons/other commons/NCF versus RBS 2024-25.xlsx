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umar_radhakrishnan/Library/CloudStorage/GoogleDrive-it@rajghatbesantschool.org/Shared drives/RBS Administration/Data/Academic data/"/>
    </mc:Choice>
  </mc:AlternateContent>
  <xr:revisionPtr revIDLastSave="0" documentId="13_ncr:1_{9FD0673A-AC5B-8344-9DE7-7BE6D1B7A767}" xr6:coauthVersionLast="47" xr6:coauthVersionMax="47" xr10:uidLastSave="{00000000-0000-0000-0000-000000000000}"/>
  <bookViews>
    <workbookView xWindow="7020" yWindow="620" windowWidth="20220" windowHeight="17380" xr2:uid="{ADA3B3B9-A2B6-284F-86B7-2C69879F5859}"/>
  </bookViews>
  <sheets>
    <sheet name="summary" sheetId="4" r:id="rId1"/>
    <sheet name="NCF summary" sheetId="2" r:id="rId2"/>
    <sheet name="CBSE summary" sheetId="3" r:id="rId3"/>
    <sheet name="RBS class wis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4" l="1"/>
  <c r="H19" i="4"/>
  <c r="G19" i="4"/>
  <c r="I14" i="4"/>
  <c r="H14" i="4"/>
  <c r="G14" i="4"/>
  <c r="F19" i="4"/>
  <c r="E19" i="4"/>
  <c r="D19" i="4"/>
  <c r="F14" i="4"/>
  <c r="E14" i="4"/>
  <c r="D14" i="4"/>
  <c r="J9" i="3"/>
  <c r="L9" i="3"/>
  <c r="N9" i="3"/>
  <c r="M10" i="3"/>
  <c r="N10" i="3"/>
  <c r="F11" i="3"/>
  <c r="L11" i="3"/>
  <c r="N12" i="3"/>
  <c r="F13" i="3"/>
  <c r="E14" i="3"/>
  <c r="F14" i="3"/>
  <c r="H14" i="3"/>
  <c r="I14" i="3"/>
  <c r="J14" i="3"/>
  <c r="L14" i="3"/>
  <c r="M14" i="3"/>
  <c r="N14" i="3"/>
  <c r="D15" i="3"/>
  <c r="G15" i="3"/>
  <c r="K15" i="3"/>
  <c r="K22" i="3" s="1"/>
  <c r="K24" i="3" s="1"/>
  <c r="E16" i="3"/>
  <c r="L16" i="3"/>
  <c r="M16" i="3"/>
  <c r="N16" i="3"/>
  <c r="F17" i="3"/>
  <c r="E18" i="3"/>
  <c r="F18" i="3"/>
  <c r="I18" i="3"/>
  <c r="E19" i="3"/>
  <c r="F19" i="3"/>
  <c r="J19" i="3"/>
  <c r="D20" i="3"/>
  <c r="G20" i="3"/>
  <c r="K20" i="3"/>
  <c r="F27" i="2"/>
  <c r="H19" i="3" s="1"/>
  <c r="F21" i="2"/>
  <c r="H11" i="3" s="1"/>
  <c r="G41" i="2"/>
  <c r="F41" i="2"/>
  <c r="G40" i="2"/>
  <c r="F40" i="2"/>
  <c r="G39" i="2"/>
  <c r="F39" i="2"/>
  <c r="E17" i="3" s="1"/>
  <c r="G38" i="2"/>
  <c r="F16" i="3" s="1"/>
  <c r="F38" i="2"/>
  <c r="G37" i="2"/>
  <c r="F37" i="2"/>
  <c r="E13" i="3" s="1"/>
  <c r="G36" i="2"/>
  <c r="F12" i="3" s="1"/>
  <c r="F36" i="2"/>
  <c r="E12" i="3" s="1"/>
  <c r="G35" i="2"/>
  <c r="F35" i="2"/>
  <c r="E11" i="3" s="1"/>
  <c r="G34" i="2"/>
  <c r="F9" i="3" s="1"/>
  <c r="F34" i="2"/>
  <c r="E9" i="3" s="1"/>
  <c r="E34" i="2"/>
  <c r="E43" i="2" s="1"/>
  <c r="G33" i="2"/>
  <c r="F8" i="3" s="1"/>
  <c r="F33" i="2"/>
  <c r="E8" i="3" s="1"/>
  <c r="E28" i="2"/>
  <c r="C28" i="2" s="1"/>
  <c r="H27" i="2"/>
  <c r="G27" i="2"/>
  <c r="I19" i="3" s="1"/>
  <c r="H26" i="2"/>
  <c r="J18" i="3" s="1"/>
  <c r="G26" i="2"/>
  <c r="F26" i="2"/>
  <c r="H18" i="3" s="1"/>
  <c r="H25" i="2"/>
  <c r="J17" i="3" s="1"/>
  <c r="G25" i="2"/>
  <c r="I17" i="3" s="1"/>
  <c r="F25" i="2"/>
  <c r="H17" i="3" s="1"/>
  <c r="H24" i="2"/>
  <c r="J16" i="3" s="1"/>
  <c r="G24" i="2"/>
  <c r="I16" i="3" s="1"/>
  <c r="F24" i="2"/>
  <c r="H16" i="3" s="1"/>
  <c r="H23" i="2"/>
  <c r="J13" i="3" s="1"/>
  <c r="G23" i="2"/>
  <c r="I13" i="3" s="1"/>
  <c r="F23" i="2"/>
  <c r="H13" i="3" s="1"/>
  <c r="H22" i="2"/>
  <c r="J12" i="3" s="1"/>
  <c r="G22" i="2"/>
  <c r="I12" i="3" s="1"/>
  <c r="F22" i="2"/>
  <c r="H12" i="3" s="1"/>
  <c r="H21" i="2"/>
  <c r="J11" i="3" s="1"/>
  <c r="G21" i="2"/>
  <c r="I11" i="3" s="1"/>
  <c r="H20" i="2"/>
  <c r="J10" i="3" s="1"/>
  <c r="G20" i="2"/>
  <c r="I10" i="3" s="1"/>
  <c r="F20" i="2"/>
  <c r="H10" i="3" s="1"/>
  <c r="H19" i="2"/>
  <c r="G19" i="2"/>
  <c r="I9" i="3" s="1"/>
  <c r="F19" i="2"/>
  <c r="H9" i="3" s="1"/>
  <c r="H18" i="2"/>
  <c r="J8" i="3" s="1"/>
  <c r="G18" i="2"/>
  <c r="I8" i="3" s="1"/>
  <c r="F18" i="2"/>
  <c r="H8" i="3" s="1"/>
  <c r="E14" i="2"/>
  <c r="C12" i="2" s="1"/>
  <c r="H13" i="2"/>
  <c r="N19" i="3" s="1"/>
  <c r="G13" i="2"/>
  <c r="M19" i="3" s="1"/>
  <c r="F13" i="2"/>
  <c r="L19" i="3" s="1"/>
  <c r="H12" i="2"/>
  <c r="N17" i="3" s="1"/>
  <c r="G12" i="2"/>
  <c r="M17" i="3" s="1"/>
  <c r="F12" i="2"/>
  <c r="L17" i="3" s="1"/>
  <c r="H11" i="2"/>
  <c r="G11" i="2"/>
  <c r="F11" i="2"/>
  <c r="H10" i="2"/>
  <c r="G10" i="2"/>
  <c r="M12" i="3" s="1"/>
  <c r="F10" i="2"/>
  <c r="L12" i="3" s="1"/>
  <c r="H9" i="2"/>
  <c r="N11" i="3" s="1"/>
  <c r="G9" i="2"/>
  <c r="M11" i="3" s="1"/>
  <c r="F9" i="2"/>
  <c r="F8" i="2"/>
  <c r="L10" i="3" s="1"/>
  <c r="H7" i="2"/>
  <c r="G7" i="2"/>
  <c r="M9" i="3" s="1"/>
  <c r="F7" i="2"/>
  <c r="H6" i="2"/>
  <c r="N8" i="3" s="1"/>
  <c r="G6" i="2"/>
  <c r="M8" i="3" s="1"/>
  <c r="F6" i="2"/>
  <c r="L8" i="3" s="1"/>
  <c r="BS21" i="1"/>
  <c r="BJ21" i="1"/>
  <c r="BA22" i="1"/>
  <c r="H20" i="1"/>
  <c r="Q20" i="1"/>
  <c r="AR34" i="1"/>
  <c r="AI34" i="1"/>
  <c r="Z34" i="1"/>
  <c r="I21" i="4" l="1"/>
  <c r="H21" i="4"/>
  <c r="G21" i="4"/>
  <c r="F21" i="4"/>
  <c r="F24" i="4" s="1"/>
  <c r="F23" i="4"/>
  <c r="E21" i="4"/>
  <c r="D21" i="4"/>
  <c r="E15" i="3"/>
  <c r="G22" i="3"/>
  <c r="G24" i="3" s="1"/>
  <c r="L20" i="3"/>
  <c r="F20" i="3"/>
  <c r="E20" i="3"/>
  <c r="E22" i="3" s="1"/>
  <c r="L15" i="3"/>
  <c r="I20" i="3"/>
  <c r="F15" i="3"/>
  <c r="H20" i="3"/>
  <c r="M15" i="3"/>
  <c r="M20" i="3"/>
  <c r="N15" i="3"/>
  <c r="J20" i="3"/>
  <c r="D24" i="3"/>
  <c r="H15" i="3"/>
  <c r="I15" i="3"/>
  <c r="J15" i="3"/>
  <c r="N20" i="3"/>
  <c r="D22" i="3"/>
  <c r="D25" i="3" s="1"/>
  <c r="K25" i="3"/>
  <c r="C25" i="2"/>
  <c r="F28" i="2"/>
  <c r="G43" i="2"/>
  <c r="C7" i="2"/>
  <c r="H28" i="2"/>
  <c r="F14" i="2"/>
  <c r="H14" i="2"/>
  <c r="C11" i="2"/>
  <c r="G28" i="2"/>
  <c r="D22" i="2" s="1"/>
  <c r="F43" i="2"/>
  <c r="D38" i="2" s="1"/>
  <c r="D35" i="2"/>
  <c r="G14" i="2"/>
  <c r="C22" i="2"/>
  <c r="C42" i="2"/>
  <c r="C38" i="2"/>
  <c r="C41" i="2"/>
  <c r="C39" i="2"/>
  <c r="C37" i="2"/>
  <c r="C35" i="2"/>
  <c r="C33" i="2"/>
  <c r="C40" i="2"/>
  <c r="C36" i="2"/>
  <c r="C34" i="2"/>
  <c r="C13" i="2"/>
  <c r="C27" i="2"/>
  <c r="C24" i="2"/>
  <c r="C26" i="2"/>
  <c r="C9" i="2"/>
  <c r="C23" i="2"/>
  <c r="C19" i="2"/>
  <c r="C6" i="2"/>
  <c r="C10" i="2"/>
  <c r="C21" i="2"/>
  <c r="C18" i="2"/>
  <c r="C20" i="2"/>
  <c r="G24" i="4" l="1"/>
  <c r="G23" i="4"/>
  <c r="I24" i="4"/>
  <c r="I23" i="4"/>
  <c r="H24" i="4"/>
  <c r="H23" i="4"/>
  <c r="E24" i="4"/>
  <c r="E23" i="4"/>
  <c r="D24" i="4"/>
  <c r="D23" i="4"/>
  <c r="G25" i="3"/>
  <c r="E25" i="3"/>
  <c r="E24" i="3"/>
  <c r="N22" i="3"/>
  <c r="N25" i="3" s="1"/>
  <c r="N24" i="3"/>
  <c r="J22" i="3"/>
  <c r="J25" i="3" s="1"/>
  <c r="I22" i="3"/>
  <c r="I24" i="3" s="1"/>
  <c r="M22" i="3"/>
  <c r="M24" i="3" s="1"/>
  <c r="H22" i="3"/>
  <c r="H24" i="3"/>
  <c r="H25" i="3"/>
  <c r="L22" i="3"/>
  <c r="L25" i="3" s="1"/>
  <c r="F22" i="3"/>
  <c r="F25" i="3" s="1"/>
  <c r="F24" i="3"/>
  <c r="D7" i="2"/>
  <c r="D25" i="2"/>
  <c r="D42" i="2"/>
  <c r="D36" i="2"/>
  <c r="D6" i="2"/>
  <c r="D8" i="2"/>
  <c r="D19" i="2"/>
  <c r="D24" i="2"/>
  <c r="D10" i="2"/>
  <c r="D12" i="2"/>
  <c r="D9" i="2"/>
  <c r="D41" i="2"/>
  <c r="D11" i="2"/>
  <c r="D33" i="2"/>
  <c r="D40" i="2"/>
  <c r="D23" i="2"/>
  <c r="D20" i="2"/>
  <c r="D39" i="2"/>
  <c r="D37" i="2"/>
  <c r="D18" i="2"/>
  <c r="D27" i="2"/>
  <c r="C43" i="2"/>
  <c r="D21" i="2"/>
  <c r="D26" i="2"/>
  <c r="D34" i="2"/>
  <c r="D28" i="2"/>
  <c r="D13" i="2"/>
  <c r="C14" i="2"/>
  <c r="M25" i="3" l="1"/>
  <c r="L24" i="3"/>
  <c r="J24" i="3"/>
  <c r="I25" i="3"/>
  <c r="D43" i="2"/>
</calcChain>
</file>

<file path=xl/sharedStrings.xml><?xml version="1.0" encoding="utf-8"?>
<sst xmlns="http://schemas.openxmlformats.org/spreadsheetml/2006/main" count="352" uniqueCount="126">
  <si>
    <t>Class</t>
  </si>
  <si>
    <t>Subjects</t>
  </si>
  <si>
    <t>No. of classes (weekly)</t>
  </si>
  <si>
    <t>Term-1</t>
  </si>
  <si>
    <t xml:space="preserve">Term-2 </t>
  </si>
  <si>
    <t>Total</t>
  </si>
  <si>
    <r>
      <t>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Apr</t>
    </r>
  </si>
  <si>
    <t>(4 weeks)</t>
  </si>
  <si>
    <r>
      <t>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Jul- 26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Oct</t>
    </r>
  </si>
  <si>
    <t>(16 weeks)</t>
  </si>
  <si>
    <r>
      <t>15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Dec</t>
    </r>
  </si>
  <si>
    <t>(6 weeks)</t>
  </si>
  <si>
    <r>
      <t>20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 – 29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Mar</t>
    </r>
  </si>
  <si>
    <t>(11 weeks)</t>
  </si>
  <si>
    <r>
      <t>8th</t>
    </r>
    <r>
      <rPr>
        <b/>
        <sz val="48"/>
        <color theme="1"/>
        <rFont val="Calibri"/>
        <family val="2"/>
      </rPr>
      <t xml:space="preserve">  </t>
    </r>
  </si>
  <si>
    <t>CTP</t>
  </si>
  <si>
    <t xml:space="preserve">Culture </t>
  </si>
  <si>
    <t>SOL</t>
  </si>
  <si>
    <t>Hindi</t>
  </si>
  <si>
    <t>English</t>
  </si>
  <si>
    <t>Science</t>
  </si>
  <si>
    <t>Math</t>
  </si>
  <si>
    <t>Sanskrit</t>
  </si>
  <si>
    <t>Library</t>
  </si>
  <si>
    <t>Visual Arts</t>
  </si>
  <si>
    <t>Performing Arts</t>
  </si>
  <si>
    <t>SST</t>
  </si>
  <si>
    <t>Games</t>
  </si>
  <si>
    <t>Life skill</t>
  </si>
  <si>
    <t>RGA</t>
  </si>
  <si>
    <t>Computer Lab</t>
  </si>
  <si>
    <r>
      <t>7th</t>
    </r>
    <r>
      <rPr>
        <b/>
        <sz val="48"/>
        <color theme="1"/>
        <rFont val="Calibri"/>
        <family val="2"/>
      </rPr>
      <t xml:space="preserve">  </t>
    </r>
  </si>
  <si>
    <r>
      <t>6th</t>
    </r>
    <r>
      <rPr>
        <b/>
        <sz val="48"/>
        <color theme="1"/>
        <rFont val="Calibri"/>
        <family val="2"/>
      </rPr>
      <t xml:space="preserve">  </t>
    </r>
  </si>
  <si>
    <t>Pottery/Craft</t>
  </si>
  <si>
    <t>Dance</t>
  </si>
  <si>
    <t>Painting</t>
  </si>
  <si>
    <t>R1 (English) + Library</t>
  </si>
  <si>
    <t xml:space="preserve">8th </t>
  </si>
  <si>
    <t xml:space="preserve">7th </t>
  </si>
  <si>
    <t>6th</t>
  </si>
  <si>
    <t>R2 (Hindi)</t>
  </si>
  <si>
    <t>R3 (Sanskrit)</t>
  </si>
  <si>
    <t>Mathematics</t>
  </si>
  <si>
    <t>Social Science</t>
  </si>
  <si>
    <t>Art Education</t>
  </si>
  <si>
    <t>Vocational Education / Life Skills</t>
  </si>
  <si>
    <t>Physical Education / Games</t>
  </si>
  <si>
    <t>Art Education (incl. RGA)</t>
  </si>
  <si>
    <t>SOL/Culture/CTP</t>
  </si>
  <si>
    <r>
      <t>20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 –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Feb</t>
    </r>
  </si>
  <si>
    <t>(3 weeks) Approx.</t>
  </si>
  <si>
    <r>
      <t>9th</t>
    </r>
    <r>
      <rPr>
        <b/>
        <sz val="48"/>
        <color theme="1"/>
        <rFont val="Calibri"/>
        <family val="2"/>
      </rPr>
      <t xml:space="preserve">  </t>
    </r>
  </si>
  <si>
    <t>Culture/SOL</t>
  </si>
  <si>
    <t>Hindi/Sanskrit</t>
  </si>
  <si>
    <t xml:space="preserve">Math </t>
  </si>
  <si>
    <t xml:space="preserve">Biology </t>
  </si>
  <si>
    <t>Chemistry</t>
  </si>
  <si>
    <t>Physics</t>
  </si>
  <si>
    <t>History/Pol.Sci</t>
  </si>
  <si>
    <t>Geography</t>
  </si>
  <si>
    <t>Economics</t>
  </si>
  <si>
    <r>
      <t>18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Mar 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Apr</t>
    </r>
  </si>
  <si>
    <t>(4 weeks) approx.</t>
  </si>
  <si>
    <r>
      <t>20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 – 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  Feb</t>
    </r>
  </si>
  <si>
    <t xml:space="preserve">(2 weeks) </t>
  </si>
  <si>
    <r>
      <t>10th</t>
    </r>
    <r>
      <rPr>
        <b/>
        <sz val="48"/>
        <color theme="1"/>
        <rFont val="Calibri"/>
        <family val="2"/>
      </rPr>
      <t xml:space="preserve">  </t>
    </r>
  </si>
  <si>
    <t>NCF guidance</t>
  </si>
  <si>
    <t>Percentage</t>
  </si>
  <si>
    <t>9th</t>
  </si>
  <si>
    <t>No. of classes</t>
  </si>
  <si>
    <t>R2 &amp; R3 (Hindi/Sanskrit)</t>
  </si>
  <si>
    <t>Computer lab</t>
  </si>
  <si>
    <t>10th</t>
  </si>
  <si>
    <t>Social Science/interdisciplinary*</t>
  </si>
  <si>
    <t>* History / Pol. Science / Geography /Economics</t>
  </si>
  <si>
    <t>(17 weeks)</t>
  </si>
  <si>
    <t xml:space="preserve">5th </t>
  </si>
  <si>
    <t>Sol</t>
  </si>
  <si>
    <t>EVS</t>
  </si>
  <si>
    <t>Pottery</t>
  </si>
  <si>
    <t>Music</t>
  </si>
  <si>
    <t>Craft</t>
  </si>
  <si>
    <t>Tabla</t>
  </si>
  <si>
    <r>
      <t>4</t>
    </r>
    <r>
      <rPr>
        <b/>
        <vertAlign val="superscript"/>
        <sz val="48"/>
        <color theme="1"/>
        <rFont val="Calibri"/>
        <family val="2"/>
      </rPr>
      <t>th</t>
    </r>
    <r>
      <rPr>
        <b/>
        <sz val="48"/>
        <color theme="1"/>
        <rFont val="Calibri"/>
        <family val="2"/>
      </rPr>
      <t xml:space="preserve">  </t>
    </r>
  </si>
  <si>
    <t>Nature Walk</t>
  </si>
  <si>
    <r>
      <t>3</t>
    </r>
    <r>
      <rPr>
        <b/>
        <vertAlign val="superscript"/>
        <sz val="48"/>
        <color theme="1"/>
        <rFont val="Calibri"/>
        <family val="2"/>
      </rPr>
      <t>rd</t>
    </r>
    <r>
      <rPr>
        <b/>
        <sz val="48"/>
        <color theme="1"/>
        <rFont val="Calibri"/>
        <family val="2"/>
      </rPr>
      <t xml:space="preserve">   </t>
    </r>
  </si>
  <si>
    <t>TWAU / EVS</t>
  </si>
  <si>
    <t>3rd</t>
  </si>
  <si>
    <t>4th</t>
  </si>
  <si>
    <t>5th</t>
  </si>
  <si>
    <t>Preparatory school (3rd to 5th)</t>
  </si>
  <si>
    <t>Middle school (6th to 8th)</t>
  </si>
  <si>
    <t>Secondary stage (9th &amp; 10th)</t>
  </si>
  <si>
    <t>RBS</t>
  </si>
  <si>
    <r>
      <rPr>
        <sz val="10"/>
        <rFont val="Arial"/>
        <family val="2"/>
      </rPr>
      <t>English</t>
    </r>
  </si>
  <si>
    <r>
      <rPr>
        <sz val="10"/>
        <rFont val="Arial"/>
        <family val="2"/>
      </rPr>
      <t>Math</t>
    </r>
  </si>
  <si>
    <r>
      <rPr>
        <sz val="10"/>
        <rFont val="Arial"/>
        <family val="2"/>
      </rPr>
      <t>LIB</t>
    </r>
  </si>
  <si>
    <r>
      <rPr>
        <b/>
        <sz val="10"/>
        <rFont val="Arial"/>
        <family val="2"/>
      </rPr>
      <t>TOTAL</t>
    </r>
  </si>
  <si>
    <t>Science/EVS</t>
  </si>
  <si>
    <t>Physical Education</t>
  </si>
  <si>
    <t>Scholastic subjects</t>
  </si>
  <si>
    <t>Co-scholastic subjects</t>
  </si>
  <si>
    <t>Social Sciences</t>
  </si>
  <si>
    <t>Vocational Education / Life Skills /Computer Lab</t>
  </si>
  <si>
    <t>Secondary Stage</t>
  </si>
  <si>
    <t>CBSE norms</t>
  </si>
  <si>
    <t>Class 10</t>
  </si>
  <si>
    <t>Class 9</t>
  </si>
  <si>
    <t>Middle School</t>
  </si>
  <si>
    <t>Class 8</t>
  </si>
  <si>
    <t>Class 7</t>
  </si>
  <si>
    <t>Class 6</t>
  </si>
  <si>
    <t>Preparatory stage</t>
  </si>
  <si>
    <t>Class 5</t>
  </si>
  <si>
    <t>Class 4</t>
  </si>
  <si>
    <t>Class 3</t>
  </si>
  <si>
    <t>Scholastic subjects Total</t>
  </si>
  <si>
    <t>Co-scholastic subjects Total</t>
  </si>
  <si>
    <t>RBS period allocation versus CBSE benchmark - 2024-25</t>
  </si>
  <si>
    <t>Second language</t>
  </si>
  <si>
    <t>Third language</t>
  </si>
  <si>
    <t>Grades III, IV &amp; V</t>
  </si>
  <si>
    <t>Grades VI, VII and VIII</t>
  </si>
  <si>
    <t>Grades IX and X</t>
  </si>
  <si>
    <t>National Curricular Framework norms</t>
  </si>
  <si>
    <t>Interdisciplinary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</si>
</sst>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vertAlign val="superscript"/>
      <sz val="48"/>
      <color theme="1"/>
      <name val="Calibri"/>
      <family val="2"/>
    </font>
    <font>
      <b/>
      <sz val="48"/>
      <color theme="1"/>
      <name val="Calibri"/>
      <family val="2"/>
    </font>
    <font>
      <b/>
      <sz val="12"/>
      <color theme="1"/>
      <name val="Aptos Narrow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1CC"/>
      </patternFill>
    </fill>
    <fill>
      <patternFill patternType="solid">
        <fgColor rgb="FFD9EAD2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8" fillId="0" borderId="0" xfId="0" applyFont="1"/>
    <xf numFmtId="0" fontId="0" fillId="0" borderId="11" xfId="0" applyBorder="1"/>
    <xf numFmtId="0" fontId="8" fillId="0" borderId="11" xfId="0" applyFont="1" applyBorder="1"/>
    <xf numFmtId="0" fontId="8" fillId="2" borderId="11" xfId="0" applyFont="1" applyFill="1" applyBorder="1"/>
    <xf numFmtId="0" fontId="8" fillId="3" borderId="11" xfId="0" applyFont="1" applyFill="1" applyBorder="1"/>
    <xf numFmtId="0" fontId="0" fillId="3" borderId="11" xfId="0" applyFill="1" applyBorder="1"/>
    <xf numFmtId="9" fontId="0" fillId="2" borderId="11" xfId="1" applyFont="1" applyFill="1" applyBorder="1" applyAlignment="1">
      <alignment horizontal="center"/>
    </xf>
    <xf numFmtId="9" fontId="8" fillId="2" borderId="11" xfId="1" applyFont="1" applyFill="1" applyBorder="1" applyAlignment="1">
      <alignment horizontal="center"/>
    </xf>
    <xf numFmtId="9" fontId="2" fillId="2" borderId="11" xfId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17" xfId="0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0" fillId="0" borderId="18" xfId="0" applyBorder="1"/>
    <xf numFmtId="9" fontId="2" fillId="2" borderId="18" xfId="1" applyFont="1" applyFill="1" applyBorder="1" applyAlignment="1">
      <alignment horizontal="center"/>
    </xf>
    <xf numFmtId="0" fontId="0" fillId="3" borderId="18" xfId="0" applyFill="1" applyBorder="1"/>
    <xf numFmtId="1" fontId="0" fillId="0" borderId="0" xfId="0" applyNumberFormat="1"/>
    <xf numFmtId="0" fontId="0" fillId="0" borderId="0" xfId="0" applyAlignment="1">
      <alignment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0" fillId="0" borderId="46" xfId="0" applyBorder="1" applyAlignment="1">
      <alignment vertical="center"/>
    </xf>
    <xf numFmtId="0" fontId="9" fillId="0" borderId="47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9" fillId="0" borderId="51" xfId="0" applyFont="1" applyBorder="1" applyAlignment="1">
      <alignment vertical="center" wrapText="1"/>
    </xf>
    <xf numFmtId="0" fontId="10" fillId="4" borderId="16" xfId="0" applyFont="1" applyFill="1" applyBorder="1" applyAlignment="1">
      <alignment vertical="center" wrapText="1"/>
    </xf>
    <xf numFmtId="0" fontId="9" fillId="0" borderId="57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0" fillId="5" borderId="16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" fontId="12" fillId="6" borderId="22" xfId="0" applyNumberFormat="1" applyFont="1" applyFill="1" applyBorder="1" applyAlignment="1">
      <alignment horizontal="center" vertical="center" shrinkToFit="1"/>
    </xf>
    <xf numFmtId="1" fontId="12" fillId="0" borderId="27" xfId="0" applyNumberFormat="1" applyFont="1" applyBorder="1" applyAlignment="1">
      <alignment horizontal="center" vertical="center" shrinkToFit="1"/>
    </xf>
    <xf numFmtId="1" fontId="12" fillId="0" borderId="33" xfId="0" applyNumberFormat="1" applyFont="1" applyBorder="1" applyAlignment="1">
      <alignment horizontal="center" vertical="center" shrinkToFit="1"/>
    </xf>
    <xf numFmtId="1" fontId="12" fillId="0" borderId="11" xfId="0" applyNumberFormat="1" applyFont="1" applyBorder="1" applyAlignment="1">
      <alignment horizontal="center" vertical="center" shrinkToFit="1"/>
    </xf>
    <xf numFmtId="1" fontId="12" fillId="0" borderId="23" xfId="0" applyNumberFormat="1" applyFont="1" applyBorder="1" applyAlignment="1">
      <alignment horizontal="center" vertical="center" shrinkToFit="1"/>
    </xf>
    <xf numFmtId="1" fontId="12" fillId="0" borderId="28" xfId="0" applyNumberFormat="1" applyFont="1" applyBorder="1" applyAlignment="1">
      <alignment horizontal="center" vertical="center" shrinkToFit="1"/>
    </xf>
    <xf numFmtId="1" fontId="12" fillId="0" borderId="34" xfId="0" applyNumberFormat="1" applyFont="1" applyBorder="1" applyAlignment="1">
      <alignment horizontal="center" vertical="center" shrinkToFit="1"/>
    </xf>
    <xf numFmtId="0" fontId="0" fillId="6" borderId="2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 vertical="center" shrinkToFit="1"/>
    </xf>
    <xf numFmtId="1" fontId="12" fillId="0" borderId="35" xfId="0" applyNumberFormat="1" applyFont="1" applyBorder="1" applyAlignment="1">
      <alignment horizontal="center" vertical="center" shrinkToFit="1"/>
    </xf>
    <xf numFmtId="1" fontId="12" fillId="6" borderId="49" xfId="0" applyNumberFormat="1" applyFont="1" applyFill="1" applyBorder="1" applyAlignment="1">
      <alignment horizontal="center" vertical="center" shrinkToFit="1"/>
    </xf>
    <xf numFmtId="1" fontId="12" fillId="0" borderId="17" xfId="0" applyNumberFormat="1" applyFont="1" applyBorder="1" applyAlignment="1">
      <alignment horizontal="center" vertical="center" shrinkToFit="1"/>
    </xf>
    <xf numFmtId="1" fontId="12" fillId="0" borderId="50" xfId="0" applyNumberFormat="1" applyFont="1" applyBorder="1" applyAlignment="1">
      <alignment horizontal="center" vertical="center" shrinkToFit="1"/>
    </xf>
    <xf numFmtId="1" fontId="13" fillId="4" borderId="54" xfId="0" applyNumberFormat="1" applyFont="1" applyFill="1" applyBorder="1" applyAlignment="1">
      <alignment horizontal="center" vertical="center" shrinkToFit="1"/>
    </xf>
    <xf numFmtId="1" fontId="13" fillId="4" borderId="52" xfId="0" applyNumberFormat="1" applyFont="1" applyFill="1" applyBorder="1" applyAlignment="1">
      <alignment horizontal="center" vertical="center" shrinkToFit="1"/>
    </xf>
    <xf numFmtId="1" fontId="13" fillId="4" borderId="53" xfId="0" applyNumberFormat="1" applyFont="1" applyFill="1" applyBorder="1" applyAlignment="1">
      <alignment horizontal="center" vertical="center" shrinkToFit="1"/>
    </xf>
    <xf numFmtId="1" fontId="13" fillId="4" borderId="55" xfId="0" applyNumberFormat="1" applyFont="1" applyFill="1" applyBorder="1" applyAlignment="1">
      <alignment horizontal="center" vertical="center" shrinkToFit="1"/>
    </xf>
    <xf numFmtId="1" fontId="13" fillId="4" borderId="56" xfId="0" applyNumberFormat="1" applyFont="1" applyFill="1" applyBorder="1" applyAlignment="1">
      <alignment horizontal="center" vertical="center" shrinkToFit="1"/>
    </xf>
    <xf numFmtId="1" fontId="12" fillId="6" borderId="41" xfId="0" applyNumberFormat="1" applyFont="1" applyFill="1" applyBorder="1" applyAlignment="1">
      <alignment horizontal="center" vertical="center" shrinkToFit="1"/>
    </xf>
    <xf numFmtId="1" fontId="12" fillId="0" borderId="18" xfId="0" applyNumberFormat="1" applyFont="1" applyBorder="1" applyAlignment="1">
      <alignment horizontal="center" vertical="center" shrinkToFit="1"/>
    </xf>
    <xf numFmtId="1" fontId="12" fillId="0" borderId="42" xfId="0" applyNumberFormat="1" applyFont="1" applyBorder="1" applyAlignment="1">
      <alignment horizontal="center" vertical="center" shrinkToFit="1"/>
    </xf>
    <xf numFmtId="1" fontId="13" fillId="5" borderId="54" xfId="0" applyNumberFormat="1" applyFont="1" applyFill="1" applyBorder="1" applyAlignment="1">
      <alignment horizontal="center" vertical="center" shrinkToFit="1"/>
    </xf>
    <xf numFmtId="1" fontId="13" fillId="5" borderId="55" xfId="0" applyNumberFormat="1" applyFont="1" applyFill="1" applyBorder="1" applyAlignment="1">
      <alignment horizontal="center" vertical="center" shrinkToFit="1"/>
    </xf>
    <xf numFmtId="1" fontId="13" fillId="5" borderId="56" xfId="0" applyNumberFormat="1" applyFont="1" applyFill="1" applyBorder="1" applyAlignment="1">
      <alignment horizontal="center" vertical="center" shrinkToFit="1"/>
    </xf>
    <xf numFmtId="0" fontId="0" fillId="0" borderId="41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1" fontId="13" fillId="6" borderId="22" xfId="0" applyNumberFormat="1" applyFont="1" applyFill="1" applyBorder="1" applyAlignment="1">
      <alignment horizontal="center" vertical="center" shrinkToFit="1"/>
    </xf>
    <xf numFmtId="1" fontId="13" fillId="0" borderId="11" xfId="0" applyNumberFormat="1" applyFont="1" applyBorder="1" applyAlignment="1">
      <alignment horizontal="center" vertical="center" shrinkToFit="1"/>
    </xf>
    <xf numFmtId="1" fontId="13" fillId="0" borderId="23" xfId="0" applyNumberFormat="1" applyFont="1" applyBorder="1" applyAlignment="1">
      <alignment horizontal="center" vertical="center" shrinkToFit="1"/>
    </xf>
    <xf numFmtId="0" fontId="0" fillId="0" borderId="60" xfId="0" applyFont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 wrapText="1"/>
    </xf>
    <xf numFmtId="9" fontId="13" fillId="6" borderId="19" xfId="0" applyNumberFormat="1" applyFont="1" applyFill="1" applyBorder="1" applyAlignment="1">
      <alignment horizontal="center" vertical="center" shrinkToFit="1"/>
    </xf>
    <xf numFmtId="9" fontId="13" fillId="0" borderId="62" xfId="0" applyNumberFormat="1" applyFont="1" applyBorder="1" applyAlignment="1">
      <alignment horizontal="center" vertical="center" shrinkToFit="1"/>
    </xf>
    <xf numFmtId="9" fontId="13" fillId="0" borderId="63" xfId="0" applyNumberFormat="1" applyFont="1" applyBorder="1" applyAlignment="1">
      <alignment horizontal="center" vertical="center" shrinkToFit="1"/>
    </xf>
    <xf numFmtId="9" fontId="13" fillId="0" borderId="20" xfId="0" applyNumberFormat="1" applyFont="1" applyBorder="1" applyAlignment="1">
      <alignment horizontal="center" vertical="center" shrinkToFit="1"/>
    </xf>
    <xf numFmtId="9" fontId="13" fillId="0" borderId="21" xfId="0" applyNumberFormat="1" applyFont="1" applyBorder="1" applyAlignment="1">
      <alignment horizontal="center" vertical="center" shrinkToFit="1"/>
    </xf>
    <xf numFmtId="9" fontId="13" fillId="6" borderId="24" xfId="0" applyNumberFormat="1" applyFont="1" applyFill="1" applyBorder="1" applyAlignment="1">
      <alignment horizontal="center" vertical="center" shrinkToFit="1"/>
    </xf>
    <xf numFmtId="9" fontId="13" fillId="0" borderId="36" xfId="0" applyNumberFormat="1" applyFont="1" applyBorder="1" applyAlignment="1">
      <alignment horizontal="center" vertical="center" shrinkToFit="1"/>
    </xf>
    <xf numFmtId="9" fontId="13" fillId="0" borderId="37" xfId="0" applyNumberFormat="1" applyFont="1" applyBorder="1" applyAlignment="1">
      <alignment horizontal="center" vertical="center" shrinkToFit="1"/>
    </xf>
    <xf numFmtId="9" fontId="13" fillId="0" borderId="25" xfId="0" applyNumberFormat="1" applyFont="1" applyBorder="1" applyAlignment="1">
      <alignment horizontal="center" vertical="center" shrinkToFit="1"/>
    </xf>
    <xf numFmtId="9" fontId="13" fillId="0" borderId="26" xfId="0" applyNumberFormat="1" applyFont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44" xfId="0" applyFont="1" applyFill="1" applyBorder="1" applyAlignment="1">
      <alignment vertical="center" wrapText="1"/>
    </xf>
    <xf numFmtId="1" fontId="12" fillId="0" borderId="22" xfId="0" applyNumberFormat="1" applyFont="1" applyFill="1" applyBorder="1" applyAlignment="1">
      <alignment horizontal="center" vertical="center" shrinkToFit="1"/>
    </xf>
    <xf numFmtId="0" fontId="9" fillId="0" borderId="45" xfId="0" applyFont="1" applyFill="1" applyBorder="1" applyAlignment="1">
      <alignment vertical="center" wrapText="1"/>
    </xf>
    <xf numFmtId="0" fontId="0" fillId="0" borderId="46" xfId="0" applyFill="1" applyBorder="1" applyAlignment="1">
      <alignment vertical="center"/>
    </xf>
    <xf numFmtId="0" fontId="0" fillId="0" borderId="22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vertical="center" wrapText="1"/>
    </xf>
    <xf numFmtId="1" fontId="12" fillId="0" borderId="49" xfId="0" applyNumberFormat="1" applyFont="1" applyFill="1" applyBorder="1" applyAlignment="1">
      <alignment horizontal="center" vertical="center" shrinkToFit="1"/>
    </xf>
    <xf numFmtId="0" fontId="10" fillId="0" borderId="16" xfId="0" applyFont="1" applyFill="1" applyBorder="1" applyAlignment="1">
      <alignment vertical="center" wrapText="1"/>
    </xf>
    <xf numFmtId="1" fontId="13" fillId="0" borderId="54" xfId="0" applyNumberFormat="1" applyFont="1" applyFill="1" applyBorder="1" applyAlignment="1">
      <alignment horizontal="center" vertical="center" shrinkToFit="1"/>
    </xf>
    <xf numFmtId="0" fontId="9" fillId="0" borderId="51" xfId="0" applyFont="1" applyFill="1" applyBorder="1" applyAlignment="1">
      <alignment vertical="center" wrapText="1"/>
    </xf>
    <xf numFmtId="1" fontId="12" fillId="0" borderId="41" xfId="0" applyNumberFormat="1" applyFont="1" applyFill="1" applyBorder="1" applyAlignment="1">
      <alignment horizontal="center" vertical="center" shrinkToFit="1"/>
    </xf>
    <xf numFmtId="0" fontId="9" fillId="0" borderId="46" xfId="0" applyFont="1" applyFill="1" applyBorder="1" applyAlignment="1">
      <alignment vertical="center" wrapText="1"/>
    </xf>
    <xf numFmtId="0" fontId="9" fillId="0" borderId="57" xfId="0" applyFont="1" applyFill="1" applyBorder="1" applyAlignment="1">
      <alignment vertical="center" wrapText="1"/>
    </xf>
    <xf numFmtId="0" fontId="0" fillId="0" borderId="51" xfId="0" applyFill="1" applyBorder="1" applyAlignment="1">
      <alignment vertical="center" wrapText="1"/>
    </xf>
    <xf numFmtId="0" fontId="0" fillId="0" borderId="41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vertical="center" wrapText="1"/>
    </xf>
    <xf numFmtId="1" fontId="13" fillId="0" borderId="22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vertical="center" wrapText="1"/>
    </xf>
    <xf numFmtId="9" fontId="13" fillId="0" borderId="19" xfId="0" applyNumberFormat="1" applyFont="1" applyFill="1" applyBorder="1" applyAlignment="1">
      <alignment horizontal="center" vertical="center" shrinkToFit="1"/>
    </xf>
    <xf numFmtId="0" fontId="10" fillId="0" borderId="48" xfId="0" applyFont="1" applyFill="1" applyBorder="1" applyAlignment="1">
      <alignment vertical="center" wrapText="1"/>
    </xf>
    <xf numFmtId="9" fontId="13" fillId="0" borderId="24" xfId="0" applyNumberFormat="1" applyFont="1" applyFill="1" applyBorder="1" applyAlignment="1">
      <alignment horizontal="center" vertical="center" shrinkToFit="1"/>
    </xf>
    <xf numFmtId="0" fontId="11" fillId="0" borderId="64" xfId="0" applyFon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A2B4-02A0-444D-9378-EA6A453796D0}">
  <sheetPr>
    <pageSetUpPr fitToPage="1"/>
  </sheetPr>
  <dimension ref="C4:I24"/>
  <sheetViews>
    <sheetView showGridLines="0" tabSelected="1" topLeftCell="C2" workbookViewId="0">
      <pane xSplit="1" ySplit="4" topLeftCell="D6" activePane="bottomRight" state="frozen"/>
      <selection activeCell="C2" sqref="C2"/>
      <selection pane="topRight" activeCell="D2" sqref="D2"/>
      <selection pane="bottomLeft" activeCell="C6" sqref="C6"/>
      <selection pane="bottomRight" activeCell="G13" sqref="G13"/>
    </sheetView>
  </sheetViews>
  <sheetFormatPr baseColWidth="10" defaultRowHeight="16" x14ac:dyDescent="0.2"/>
  <cols>
    <col min="1" max="2" width="10.83203125" style="127"/>
    <col min="3" max="3" width="39" style="127" customWidth="1"/>
    <col min="4" max="4" width="17.1640625" style="128" customWidth="1"/>
    <col min="5" max="5" width="22" style="128" customWidth="1"/>
    <col min="6" max="6" width="18.6640625" style="128" customWidth="1"/>
    <col min="7" max="7" width="17.1640625" style="128" customWidth="1"/>
    <col min="8" max="8" width="22" style="128" customWidth="1"/>
    <col min="9" max="9" width="18.6640625" style="128" customWidth="1"/>
    <col min="10" max="16384" width="10.83203125" style="127"/>
  </cols>
  <sheetData>
    <row r="4" spans="3:9" x14ac:dyDescent="0.2">
      <c r="E4" s="129"/>
      <c r="H4" s="129"/>
    </row>
    <row r="5" spans="3:9" x14ac:dyDescent="0.2">
      <c r="D5" s="157" t="s">
        <v>105</v>
      </c>
      <c r="E5" s="158"/>
      <c r="F5" s="159"/>
      <c r="G5" s="155"/>
      <c r="H5" s="156" t="s">
        <v>124</v>
      </c>
      <c r="I5" s="155"/>
    </row>
    <row r="6" spans="3:9" x14ac:dyDescent="0.2">
      <c r="D6" s="153" t="s">
        <v>123</v>
      </c>
      <c r="E6" s="153" t="s">
        <v>122</v>
      </c>
      <c r="F6" s="154" t="s">
        <v>121</v>
      </c>
      <c r="G6" s="153" t="s">
        <v>123</v>
      </c>
      <c r="H6" s="153" t="s">
        <v>122</v>
      </c>
      <c r="I6" s="154" t="s">
        <v>121</v>
      </c>
    </row>
    <row r="7" spans="3:9" ht="31" customHeight="1" x14ac:dyDescent="0.2">
      <c r="C7" s="130" t="s">
        <v>94</v>
      </c>
      <c r="D7" s="131">
        <v>160</v>
      </c>
      <c r="E7" s="131">
        <v>140</v>
      </c>
      <c r="F7" s="131">
        <v>140</v>
      </c>
      <c r="G7" s="131">
        <v>84</v>
      </c>
      <c r="H7" s="131">
        <v>97</v>
      </c>
      <c r="I7" s="131">
        <v>270</v>
      </c>
    </row>
    <row r="8" spans="3:9" ht="31" customHeight="1" x14ac:dyDescent="0.2">
      <c r="C8" s="132" t="s">
        <v>119</v>
      </c>
      <c r="D8" s="131">
        <v>140</v>
      </c>
      <c r="E8" s="131">
        <v>120</v>
      </c>
      <c r="F8" s="131">
        <v>100</v>
      </c>
      <c r="G8" s="131">
        <v>84</v>
      </c>
      <c r="H8" s="131">
        <v>105</v>
      </c>
      <c r="I8" s="131">
        <v>285</v>
      </c>
    </row>
    <row r="9" spans="3:9" ht="31" customHeight="1" x14ac:dyDescent="0.2">
      <c r="C9" s="133" t="s">
        <v>120</v>
      </c>
      <c r="D9" s="134"/>
      <c r="E9" s="134"/>
      <c r="F9" s="134"/>
      <c r="G9" s="134">
        <v>84</v>
      </c>
      <c r="H9" s="134">
        <v>112</v>
      </c>
      <c r="I9" s="134"/>
    </row>
    <row r="10" spans="3:9" ht="31" customHeight="1" x14ac:dyDescent="0.2">
      <c r="C10" s="135" t="s">
        <v>95</v>
      </c>
      <c r="D10" s="131">
        <v>210</v>
      </c>
      <c r="E10" s="131">
        <v>180</v>
      </c>
      <c r="F10" s="131">
        <v>160</v>
      </c>
      <c r="G10" s="131">
        <v>162</v>
      </c>
      <c r="H10" s="131">
        <v>172</v>
      </c>
      <c r="I10" s="131">
        <v>277</v>
      </c>
    </row>
    <row r="11" spans="3:9" ht="31" customHeight="1" x14ac:dyDescent="0.2">
      <c r="C11" s="130" t="s">
        <v>98</v>
      </c>
      <c r="D11" s="131">
        <v>210</v>
      </c>
      <c r="E11" s="131">
        <v>180</v>
      </c>
      <c r="F11" s="131">
        <v>140</v>
      </c>
      <c r="G11" s="131">
        <v>162</v>
      </c>
      <c r="H11" s="131">
        <v>240</v>
      </c>
      <c r="I11" s="131">
        <v>300</v>
      </c>
    </row>
    <row r="12" spans="3:9" ht="31" customHeight="1" x14ac:dyDescent="0.2">
      <c r="C12" s="130" t="s">
        <v>102</v>
      </c>
      <c r="D12" s="131">
        <v>245</v>
      </c>
      <c r="E12" s="131">
        <v>210</v>
      </c>
      <c r="F12" s="131">
        <v>0</v>
      </c>
      <c r="G12" s="131">
        <v>150</v>
      </c>
      <c r="H12" s="131">
        <v>240</v>
      </c>
      <c r="I12" s="131"/>
    </row>
    <row r="13" spans="3:9" ht="31" customHeight="1" thickBot="1" x14ac:dyDescent="0.25">
      <c r="C13" s="132" t="s">
        <v>125</v>
      </c>
      <c r="D13" s="136">
        <v>32</v>
      </c>
      <c r="E13" s="136">
        <v>70</v>
      </c>
      <c r="F13" s="136">
        <v>70</v>
      </c>
      <c r="G13" s="136">
        <v>150</v>
      </c>
      <c r="H13" s="136"/>
      <c r="I13" s="136"/>
    </row>
    <row r="14" spans="3:9" ht="31" customHeight="1" thickBot="1" x14ac:dyDescent="0.25">
      <c r="C14" s="137" t="s">
        <v>116</v>
      </c>
      <c r="D14" s="138">
        <f t="shared" ref="D14:F14" si="0">SUM(D7:D13)</f>
        <v>997</v>
      </c>
      <c r="E14" s="138">
        <f t="shared" si="0"/>
        <v>900</v>
      </c>
      <c r="F14" s="138">
        <f t="shared" si="0"/>
        <v>610</v>
      </c>
      <c r="G14" s="138">
        <f t="shared" ref="G14:I14" si="1">SUM(G7:G13)</f>
        <v>876</v>
      </c>
      <c r="H14" s="138">
        <f t="shared" si="1"/>
        <v>966</v>
      </c>
      <c r="I14" s="138">
        <f t="shared" si="1"/>
        <v>1132</v>
      </c>
    </row>
    <row r="15" spans="3:9" ht="31" customHeight="1" x14ac:dyDescent="0.2">
      <c r="C15" s="139" t="s">
        <v>44</v>
      </c>
      <c r="D15" s="140">
        <v>32</v>
      </c>
      <c r="E15" s="140">
        <v>140</v>
      </c>
      <c r="F15" s="140">
        <v>260</v>
      </c>
      <c r="G15" s="140">
        <v>138</v>
      </c>
      <c r="H15" s="140">
        <v>150</v>
      </c>
      <c r="I15" s="140">
        <v>150</v>
      </c>
    </row>
    <row r="16" spans="3:9" ht="31" customHeight="1" x14ac:dyDescent="0.2">
      <c r="C16" s="141" t="s">
        <v>99</v>
      </c>
      <c r="D16" s="131">
        <v>0</v>
      </c>
      <c r="E16" s="131">
        <v>70</v>
      </c>
      <c r="F16" s="131">
        <v>64</v>
      </c>
      <c r="G16" s="131">
        <v>108</v>
      </c>
      <c r="H16" s="131">
        <v>150</v>
      </c>
      <c r="I16" s="131">
        <v>150</v>
      </c>
    </row>
    <row r="17" spans="3:9" ht="31" customHeight="1" x14ac:dyDescent="0.2">
      <c r="C17" s="141" t="s">
        <v>103</v>
      </c>
      <c r="D17" s="131">
        <v>64</v>
      </c>
      <c r="E17" s="131">
        <v>70</v>
      </c>
      <c r="F17" s="131">
        <v>64</v>
      </c>
      <c r="G17" s="131">
        <v>132</v>
      </c>
      <c r="H17" s="131">
        <v>165</v>
      </c>
      <c r="I17" s="131"/>
    </row>
    <row r="18" spans="3:9" ht="31" customHeight="1" thickBot="1" x14ac:dyDescent="0.25">
      <c r="C18" s="142" t="s">
        <v>48</v>
      </c>
      <c r="D18" s="136">
        <v>64</v>
      </c>
      <c r="E18" s="136">
        <v>225</v>
      </c>
      <c r="F18" s="136">
        <v>128</v>
      </c>
      <c r="G18" s="136"/>
      <c r="H18" s="136"/>
      <c r="I18" s="136"/>
    </row>
    <row r="19" spans="3:9" ht="31" customHeight="1" thickBot="1" x14ac:dyDescent="0.25">
      <c r="C19" s="137" t="s">
        <v>117</v>
      </c>
      <c r="D19" s="138">
        <f t="shared" ref="D19:F19" si="2">SUM(D15:D18)</f>
        <v>160</v>
      </c>
      <c r="E19" s="138">
        <f t="shared" si="2"/>
        <v>505</v>
      </c>
      <c r="F19" s="138">
        <f t="shared" si="2"/>
        <v>516</v>
      </c>
      <c r="G19" s="138">
        <f t="shared" ref="G19:I19" si="3">SUM(G15:G18)</f>
        <v>378</v>
      </c>
      <c r="H19" s="138">
        <f t="shared" si="3"/>
        <v>465</v>
      </c>
      <c r="I19" s="138">
        <f t="shared" si="3"/>
        <v>300</v>
      </c>
    </row>
    <row r="20" spans="3:9" ht="10" customHeight="1" x14ac:dyDescent="0.2">
      <c r="C20" s="143"/>
      <c r="D20" s="144"/>
      <c r="E20" s="144"/>
      <c r="F20" s="144"/>
      <c r="G20" s="144"/>
      <c r="H20" s="144"/>
      <c r="I20" s="144"/>
    </row>
    <row r="21" spans="3:9" ht="31" customHeight="1" x14ac:dyDescent="0.2">
      <c r="C21" s="145" t="s">
        <v>97</v>
      </c>
      <c r="D21" s="146">
        <f t="shared" ref="D21:F21" si="4">D14+D19</f>
        <v>1157</v>
      </c>
      <c r="E21" s="146">
        <f t="shared" si="4"/>
        <v>1405</v>
      </c>
      <c r="F21" s="146">
        <f t="shared" si="4"/>
        <v>1126</v>
      </c>
      <c r="G21" s="146">
        <f t="shared" ref="G21:I21" si="5">G14+G19</f>
        <v>1254</v>
      </c>
      <c r="H21" s="146">
        <f t="shared" si="5"/>
        <v>1431</v>
      </c>
      <c r="I21" s="146">
        <f t="shared" si="5"/>
        <v>1432</v>
      </c>
    </row>
    <row r="22" spans="3:9" ht="10" customHeight="1" thickBot="1" x14ac:dyDescent="0.25">
      <c r="C22" s="147"/>
      <c r="D22" s="148"/>
      <c r="E22" s="148"/>
      <c r="F22" s="148"/>
      <c r="G22" s="148"/>
      <c r="H22" s="148"/>
      <c r="I22" s="148"/>
    </row>
    <row r="23" spans="3:9" ht="31" customHeight="1" x14ac:dyDescent="0.2">
      <c r="C23" s="149" t="s">
        <v>100</v>
      </c>
      <c r="D23" s="150">
        <f t="shared" ref="D23:F23" si="6">D14/D21</f>
        <v>0.86171132238547965</v>
      </c>
      <c r="E23" s="150">
        <f t="shared" si="6"/>
        <v>0.64056939501779364</v>
      </c>
      <c r="F23" s="150">
        <f t="shared" si="6"/>
        <v>0.54174067495559508</v>
      </c>
      <c r="G23" s="150">
        <f t="shared" ref="G23:I23" si="7">G14/G21</f>
        <v>0.69856459330143539</v>
      </c>
      <c r="H23" s="150">
        <f t="shared" si="7"/>
        <v>0.6750524109014675</v>
      </c>
      <c r="I23" s="150">
        <f t="shared" si="7"/>
        <v>0.79050279329608941</v>
      </c>
    </row>
    <row r="24" spans="3:9" ht="31" customHeight="1" thickBot="1" x14ac:dyDescent="0.25">
      <c r="C24" s="151" t="s">
        <v>101</v>
      </c>
      <c r="D24" s="152">
        <f t="shared" ref="D24:F24" si="8">D19/D21</f>
        <v>0.13828867761452032</v>
      </c>
      <c r="E24" s="152">
        <f t="shared" si="8"/>
        <v>0.35943060498220641</v>
      </c>
      <c r="F24" s="152">
        <f t="shared" si="8"/>
        <v>0.45825932504440497</v>
      </c>
      <c r="G24" s="152">
        <f t="shared" ref="G24:I24" si="9">G19/G21</f>
        <v>0.30143540669856461</v>
      </c>
      <c r="H24" s="152">
        <f t="shared" si="9"/>
        <v>0.3249475890985325</v>
      </c>
      <c r="I24" s="152">
        <f t="shared" si="9"/>
        <v>0.20949720670391062</v>
      </c>
    </row>
  </sheetData>
  <mergeCells count="1">
    <mergeCell ref="D5:F5"/>
  </mergeCells>
  <pageMargins left="0.7" right="0.7" top="0.75" bottom="0.75" header="0.3" footer="0.3"/>
  <pageSetup paperSize="9" scale="6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E180-35FE-244C-A230-E027EEFB5BFF}">
  <dimension ref="B2:W44"/>
  <sheetViews>
    <sheetView showGridLines="0" workbookViewId="0">
      <selection sqref="A1:XFD1048576"/>
    </sheetView>
  </sheetViews>
  <sheetFormatPr baseColWidth="10" defaultRowHeight="16" x14ac:dyDescent="0.2"/>
  <cols>
    <col min="2" max="2" width="40.1640625" bestFit="1" customWidth="1"/>
    <col min="3" max="3" width="12.6640625" bestFit="1" customWidth="1"/>
    <col min="4" max="4" width="15.83203125" customWidth="1"/>
    <col min="5" max="8" width="12.1640625" customWidth="1"/>
    <col min="9" max="11" width="3.6640625" customWidth="1"/>
    <col min="12" max="12" width="29.6640625" customWidth="1"/>
  </cols>
  <sheetData>
    <row r="2" spans="2:9" ht="51" customHeight="1" x14ac:dyDescent="0.2"/>
    <row r="3" spans="2:9" x14ac:dyDescent="0.2">
      <c r="D3" s="10" t="s">
        <v>90</v>
      </c>
    </row>
    <row r="4" spans="2:9" x14ac:dyDescent="0.2">
      <c r="B4" s="11"/>
      <c r="C4" s="62" t="s">
        <v>67</v>
      </c>
      <c r="D4" s="62"/>
      <c r="E4" s="66" t="s">
        <v>69</v>
      </c>
      <c r="F4" s="66"/>
      <c r="G4" s="66"/>
      <c r="H4" s="66"/>
    </row>
    <row r="5" spans="2:9" s="25" customFormat="1" x14ac:dyDescent="0.2">
      <c r="B5" s="27"/>
      <c r="C5" s="28" t="s">
        <v>66</v>
      </c>
      <c r="D5" s="28" t="s">
        <v>93</v>
      </c>
      <c r="E5" s="29" t="s">
        <v>66</v>
      </c>
      <c r="F5" s="29" t="s">
        <v>89</v>
      </c>
      <c r="G5" s="29" t="s">
        <v>88</v>
      </c>
      <c r="H5" s="29" t="s">
        <v>87</v>
      </c>
    </row>
    <row r="6" spans="2:9" x14ac:dyDescent="0.2">
      <c r="B6" s="11" t="s">
        <v>36</v>
      </c>
      <c r="C6" s="16">
        <f>E6/$E$14</f>
        <v>0.18848167539267016</v>
      </c>
      <c r="D6" s="16">
        <f t="shared" ref="D6:D13" si="0">AVERAGE(F6:H6)/AVERAGE($F$14:$H$14)</f>
        <v>0.19148936170212766</v>
      </c>
      <c r="E6" s="15">
        <v>270</v>
      </c>
      <c r="F6" s="15">
        <f>'RBS class wise'!BA9+'RBS class wise'!BA12</f>
        <v>228</v>
      </c>
      <c r="G6" s="15">
        <f>'RBS class wise'!BJ9+'RBS class wise'!BJ12</f>
        <v>228</v>
      </c>
      <c r="H6" s="15">
        <f>'RBS class wise'!BS9+'RBS class wise'!BS12</f>
        <v>228</v>
      </c>
      <c r="I6" s="26"/>
    </row>
    <row r="7" spans="2:9" x14ac:dyDescent="0.2">
      <c r="B7" s="11" t="s">
        <v>40</v>
      </c>
      <c r="C7" s="18">
        <f>E7/$E$14</f>
        <v>0.19895287958115182</v>
      </c>
      <c r="D7" s="18">
        <f t="shared" si="0"/>
        <v>9.5744680851063829E-2</v>
      </c>
      <c r="E7" s="15">
        <v>285</v>
      </c>
      <c r="F7" s="15">
        <f>'RBS class wise'!BA8</f>
        <v>114</v>
      </c>
      <c r="G7" s="15">
        <f>'RBS class wise'!BJ8</f>
        <v>114</v>
      </c>
      <c r="H7" s="15">
        <f>'RBS class wise'!BS8</f>
        <v>114</v>
      </c>
      <c r="I7" s="26"/>
    </row>
    <row r="8" spans="2:9" x14ac:dyDescent="0.2">
      <c r="B8" s="11" t="s">
        <v>41</v>
      </c>
      <c r="C8" s="16"/>
      <c r="D8" s="16">
        <f t="shared" si="0"/>
        <v>3.1914893617021274E-2</v>
      </c>
      <c r="E8" s="15">
        <v>0</v>
      </c>
      <c r="F8" s="15">
        <f>'RBS class wise'!BA15</f>
        <v>38</v>
      </c>
      <c r="G8" s="15"/>
      <c r="H8" s="15"/>
      <c r="I8" s="26"/>
    </row>
    <row r="9" spans="2:9" x14ac:dyDescent="0.2">
      <c r="B9" s="11" t="s">
        <v>42</v>
      </c>
      <c r="C9" s="16">
        <f>E9/$E$14</f>
        <v>0.193717277486911</v>
      </c>
      <c r="D9" s="16">
        <f t="shared" si="0"/>
        <v>0.13829787234042551</v>
      </c>
      <c r="E9" s="15">
        <v>277.5</v>
      </c>
      <c r="F9" s="15">
        <f>'RBS class wise'!BA11</f>
        <v>190</v>
      </c>
      <c r="G9" s="15">
        <f>'RBS class wise'!BJ11</f>
        <v>152</v>
      </c>
      <c r="H9" s="15">
        <f>'RBS class wise'!BS11</f>
        <v>152</v>
      </c>
      <c r="I9" s="26"/>
    </row>
    <row r="10" spans="2:9" x14ac:dyDescent="0.2">
      <c r="B10" s="11" t="s">
        <v>86</v>
      </c>
      <c r="C10" s="18">
        <f>E10/$E$14</f>
        <v>0.20942408376963351</v>
      </c>
      <c r="D10" s="18">
        <f t="shared" si="0"/>
        <v>0.10638297872340426</v>
      </c>
      <c r="E10" s="15">
        <v>300</v>
      </c>
      <c r="F10" s="15">
        <f>'RBS class wise'!BA10</f>
        <v>152</v>
      </c>
      <c r="G10" s="15">
        <f>'RBS class wise'!BJ10</f>
        <v>114</v>
      </c>
      <c r="H10" s="15">
        <f>'RBS class wise'!BS10</f>
        <v>114</v>
      </c>
      <c r="I10" s="26"/>
    </row>
    <row r="11" spans="2:9" x14ac:dyDescent="0.2">
      <c r="B11" s="30" t="s">
        <v>47</v>
      </c>
      <c r="C11" s="31">
        <f>E11/$E$14</f>
        <v>0.10471204188481675</v>
      </c>
      <c r="D11" s="31">
        <f t="shared" si="0"/>
        <v>0.36170212765957444</v>
      </c>
      <c r="E11" s="32">
        <v>150</v>
      </c>
      <c r="F11" s="32">
        <f>'RBS class wise'!BA13+'RBS class wise'!BA14+'RBS class wise'!BA17+'RBS class wise'!BA18+'RBS class wise'!BA19+'RBS class wise'!BA20+'RBS class wise'!BA21</f>
        <v>456</v>
      </c>
      <c r="G11" s="32">
        <f>'RBS class wise'!BJ13+'RBS class wise'!BJ14+'RBS class wise'!BJ15+'RBS class wise'!BJ17+'RBS class wise'!BJ18+'RBS class wise'!BJ19+'RBS class wise'!BJ20</f>
        <v>418</v>
      </c>
      <c r="H11" s="32">
        <f>'RBS class wise'!BS13+'RBS class wise'!BS14+'RBS class wise'!BS15+'RBS class wise'!BS17+'RBS class wise'!BS18+'RBS class wise'!BS19+'RBS class wise'!BS20</f>
        <v>418</v>
      </c>
      <c r="I11" s="26"/>
    </row>
    <row r="12" spans="2:9" x14ac:dyDescent="0.2">
      <c r="B12" s="11" t="s">
        <v>46</v>
      </c>
      <c r="C12" s="16">
        <f>E12/$E$14</f>
        <v>0.10471204188481675</v>
      </c>
      <c r="D12" s="16">
        <f t="shared" si="0"/>
        <v>3.1914893617021274E-2</v>
      </c>
      <c r="E12" s="15">
        <v>150</v>
      </c>
      <c r="F12" s="15">
        <f>'RBS class wise'!BA16</f>
        <v>38</v>
      </c>
      <c r="G12" s="15">
        <f>'RBS class wise'!BJ16</f>
        <v>38</v>
      </c>
      <c r="H12" s="15">
        <f>'RBS class wise'!BS16</f>
        <v>38</v>
      </c>
      <c r="I12" s="26"/>
    </row>
    <row r="13" spans="2:9" x14ac:dyDescent="0.2">
      <c r="B13" s="11" t="s">
        <v>48</v>
      </c>
      <c r="C13" s="16">
        <f>E13/$E$14</f>
        <v>0</v>
      </c>
      <c r="D13" s="16">
        <f t="shared" si="0"/>
        <v>6.3829787234042548E-2</v>
      </c>
      <c r="E13" s="15"/>
      <c r="F13" s="15">
        <f>'RBS class wise'!BA6+'RBS class wise'!BA7</f>
        <v>76</v>
      </c>
      <c r="G13" s="15">
        <f>'RBS class wise'!BJ6+'RBS class wise'!BJ7</f>
        <v>76</v>
      </c>
      <c r="H13" s="15">
        <f>'RBS class wise'!BS6+'RBS class wise'!BS7</f>
        <v>76</v>
      </c>
      <c r="I13" s="26"/>
    </row>
    <row r="14" spans="2:9" x14ac:dyDescent="0.2">
      <c r="B14" s="12"/>
      <c r="C14" s="17">
        <f>SUM(C6:C13)</f>
        <v>1</v>
      </c>
      <c r="D14" s="17">
        <v>1</v>
      </c>
      <c r="E14" s="14">
        <f>SUM(E6:E13)</f>
        <v>1432.5</v>
      </c>
      <c r="F14" s="14">
        <f>SUM(F6:F13)</f>
        <v>1292</v>
      </c>
      <c r="G14" s="14">
        <f>SUM(G6:G13)</f>
        <v>1140</v>
      </c>
      <c r="H14" s="14">
        <f>SUM(H6:H13)</f>
        <v>1140</v>
      </c>
      <c r="I14" s="26"/>
    </row>
    <row r="15" spans="2:9" ht="31" customHeight="1" x14ac:dyDescent="0.2">
      <c r="D15" s="10" t="s">
        <v>91</v>
      </c>
      <c r="I15" s="26"/>
    </row>
    <row r="16" spans="2:9" x14ac:dyDescent="0.2">
      <c r="B16" s="11"/>
      <c r="C16" s="62" t="s">
        <v>67</v>
      </c>
      <c r="D16" s="62"/>
      <c r="E16" s="66" t="s">
        <v>69</v>
      </c>
      <c r="F16" s="66"/>
      <c r="G16" s="66"/>
      <c r="H16" s="66"/>
      <c r="I16" s="26"/>
    </row>
    <row r="17" spans="2:23" x14ac:dyDescent="0.2">
      <c r="B17" s="11"/>
      <c r="C17" s="13" t="s">
        <v>66</v>
      </c>
      <c r="D17" s="24" t="s">
        <v>93</v>
      </c>
      <c r="E17" s="14" t="s">
        <v>66</v>
      </c>
      <c r="F17" s="14" t="s">
        <v>37</v>
      </c>
      <c r="G17" s="14" t="s">
        <v>38</v>
      </c>
      <c r="H17" s="14" t="s">
        <v>39</v>
      </c>
      <c r="I17" s="26"/>
    </row>
    <row r="18" spans="2:23" x14ac:dyDescent="0.2">
      <c r="B18" s="11" t="s">
        <v>36</v>
      </c>
      <c r="C18" s="18">
        <f t="shared" ref="C18:C28" si="1">E18/$E$28</f>
        <v>6.8062827225130892E-2</v>
      </c>
      <c r="D18" s="18">
        <f t="shared" ref="D18:D28" si="2">AVERAGE(F18:H18)/AVERAGE($F$28:$H$28)</f>
        <v>0.15315315315315314</v>
      </c>
      <c r="E18" s="15">
        <v>97.5</v>
      </c>
      <c r="F18" s="15">
        <f>'RBS class wise'!Z10+'RBS class wise'!Z14</f>
        <v>222</v>
      </c>
      <c r="G18" s="15">
        <f>'RBS class wise'!AI10+'RBS class wise'!AI14</f>
        <v>222</v>
      </c>
      <c r="H18" s="15">
        <f>'RBS class wise'!AR10+'RBS class wise'!AR14</f>
        <v>185</v>
      </c>
      <c r="I18" s="26"/>
    </row>
    <row r="19" spans="2:23" x14ac:dyDescent="0.2">
      <c r="B19" s="11" t="s">
        <v>40</v>
      </c>
      <c r="C19" s="16">
        <f t="shared" si="1"/>
        <v>7.3298429319371722E-2</v>
      </c>
      <c r="D19" s="16">
        <f t="shared" si="2"/>
        <v>8.1081081081081086E-2</v>
      </c>
      <c r="E19" s="15">
        <v>105</v>
      </c>
      <c r="F19" s="15">
        <f>'RBS class wise'!Z9</f>
        <v>111</v>
      </c>
      <c r="G19" s="15">
        <f>'RBS class wise'!AI9</f>
        <v>111</v>
      </c>
      <c r="H19" s="15">
        <f>'RBS class wise'!AR9</f>
        <v>111</v>
      </c>
      <c r="I19" s="26"/>
    </row>
    <row r="20" spans="2:23" x14ac:dyDescent="0.2">
      <c r="B20" s="11" t="s">
        <v>41</v>
      </c>
      <c r="C20" s="16">
        <f t="shared" si="1"/>
        <v>7.8534031413612565E-2</v>
      </c>
      <c r="D20" s="16">
        <f t="shared" si="2"/>
        <v>5.4054054054054057E-2</v>
      </c>
      <c r="E20" s="15">
        <v>112.5</v>
      </c>
      <c r="F20" s="15">
        <f>'RBS class wise'!Z13</f>
        <v>74</v>
      </c>
      <c r="G20" s="15">
        <f>'RBS class wise'!AI13</f>
        <v>74</v>
      </c>
      <c r="H20" s="15">
        <f>'RBS class wise'!AR13</f>
        <v>74</v>
      </c>
      <c r="I20" s="26"/>
    </row>
    <row r="21" spans="2:23" x14ac:dyDescent="0.2">
      <c r="B21" s="11" t="s">
        <v>42</v>
      </c>
      <c r="C21" s="16">
        <f t="shared" si="1"/>
        <v>0.12041884816753927</v>
      </c>
      <c r="D21" s="16">
        <f t="shared" si="2"/>
        <v>0.15315315315315314</v>
      </c>
      <c r="E21" s="15">
        <v>172.5</v>
      </c>
      <c r="F21" s="15">
        <f>'RBS class wise'!Z12</f>
        <v>222</v>
      </c>
      <c r="G21" s="15">
        <f>'RBS class wise'!AI12</f>
        <v>222</v>
      </c>
      <c r="H21" s="15">
        <f>'RBS class wise'!AR12</f>
        <v>185</v>
      </c>
      <c r="I21" s="26"/>
    </row>
    <row r="22" spans="2:23" x14ac:dyDescent="0.2">
      <c r="B22" s="11" t="s">
        <v>20</v>
      </c>
      <c r="C22" s="16">
        <f t="shared" si="1"/>
        <v>0.16753926701570682</v>
      </c>
      <c r="D22" s="16">
        <f t="shared" si="2"/>
        <v>0.13513513513513514</v>
      </c>
      <c r="E22" s="15">
        <v>240</v>
      </c>
      <c r="F22" s="15">
        <f>'RBS class wise'!Z11</f>
        <v>185</v>
      </c>
      <c r="G22" s="15">
        <f>'RBS class wise'!AI11</f>
        <v>185</v>
      </c>
      <c r="H22" s="15">
        <f>'RBS class wise'!AR11</f>
        <v>185</v>
      </c>
      <c r="I22" s="26"/>
    </row>
    <row r="23" spans="2:23" x14ac:dyDescent="0.2">
      <c r="B23" s="11" t="s">
        <v>43</v>
      </c>
      <c r="C23" s="18">
        <f t="shared" si="1"/>
        <v>0.16753926701570682</v>
      </c>
      <c r="D23" s="18">
        <f t="shared" si="2"/>
        <v>0.10810810810810811</v>
      </c>
      <c r="E23" s="15">
        <v>240</v>
      </c>
      <c r="F23" s="15">
        <f>'RBS class wise'!Z17</f>
        <v>148</v>
      </c>
      <c r="G23" s="15">
        <f>'RBS class wise'!AI17</f>
        <v>148</v>
      </c>
      <c r="H23" s="15">
        <f>'RBS class wise'!AR17</f>
        <v>148</v>
      </c>
      <c r="I23" s="26"/>
    </row>
    <row r="24" spans="2:23" x14ac:dyDescent="0.2">
      <c r="B24" s="11" t="s">
        <v>47</v>
      </c>
      <c r="C24" s="16">
        <f t="shared" si="1"/>
        <v>0.10471204188481675</v>
      </c>
      <c r="D24" s="16">
        <f t="shared" si="2"/>
        <v>0.15315315315315314</v>
      </c>
      <c r="E24" s="15">
        <v>150</v>
      </c>
      <c r="F24" s="15">
        <f>'RBS class wise'!Z16+'RBS class wise'!Z15+'RBS class wise'!Z20</f>
        <v>185</v>
      </c>
      <c r="G24" s="15">
        <f>'RBS class wise'!AI16+'RBS class wise'!AI15+'RBS class wise'!AI20</f>
        <v>185</v>
      </c>
      <c r="H24" s="15">
        <f>'RBS class wise'!AR15+'RBS class wise'!AR16+'RBS class wise'!AR19+'RBS class wise'!AR21</f>
        <v>259</v>
      </c>
      <c r="I24" s="26"/>
    </row>
    <row r="25" spans="2:23" x14ac:dyDescent="0.2">
      <c r="B25" s="11" t="s">
        <v>46</v>
      </c>
      <c r="C25" s="18">
        <f t="shared" si="1"/>
        <v>0.10471204188481675</v>
      </c>
      <c r="D25" s="18">
        <f t="shared" si="2"/>
        <v>2.7027027027027029E-2</v>
      </c>
      <c r="E25" s="15">
        <v>150</v>
      </c>
      <c r="F25" s="15">
        <f>'RBS class wise'!Z18</f>
        <v>37</v>
      </c>
      <c r="G25" s="15">
        <f>'RBS class wise'!AI18</f>
        <v>37</v>
      </c>
      <c r="H25" s="15">
        <f>'RBS class wise'!AR18</f>
        <v>37</v>
      </c>
      <c r="I25" s="26"/>
    </row>
    <row r="26" spans="2:23" x14ac:dyDescent="0.2">
      <c r="B26" s="11" t="s">
        <v>45</v>
      </c>
      <c r="C26" s="16">
        <f t="shared" si="1"/>
        <v>0.11518324607329843</v>
      </c>
      <c r="D26" s="16">
        <f t="shared" si="2"/>
        <v>5.4054054054054057E-2</v>
      </c>
      <c r="E26" s="15">
        <v>165</v>
      </c>
      <c r="F26" s="15">
        <f>'RBS class wise'!Z19</f>
        <v>74</v>
      </c>
      <c r="G26" s="15">
        <f>'RBS class wise'!AI19</f>
        <v>74</v>
      </c>
      <c r="H26" s="15">
        <f>'RBS class wise'!AR20</f>
        <v>74</v>
      </c>
      <c r="I26" s="26"/>
    </row>
    <row r="27" spans="2:23" x14ac:dyDescent="0.2">
      <c r="B27" s="11" t="s">
        <v>48</v>
      </c>
      <c r="C27" s="16">
        <f t="shared" si="1"/>
        <v>0</v>
      </c>
      <c r="D27" s="16">
        <f t="shared" si="2"/>
        <v>8.1081081081081086E-2</v>
      </c>
      <c r="E27" s="15"/>
      <c r="F27" s="15">
        <f>'RBS class wise'!Z6+'RBS class wise'!Z7+'RBS class wise'!Z8</f>
        <v>111</v>
      </c>
      <c r="G27" s="15">
        <f>'RBS class wise'!AI6+'RBS class wise'!AI7+'RBS class wise'!AI8</f>
        <v>111</v>
      </c>
      <c r="H27" s="15">
        <f>'RBS class wise'!AR6+'RBS class wise'!AR7+'RBS class wise'!AR8</f>
        <v>111</v>
      </c>
      <c r="I27" s="26"/>
      <c r="N27" s="33"/>
      <c r="O27" s="33"/>
      <c r="R27" s="33"/>
      <c r="U27" s="33"/>
      <c r="V27" s="33"/>
      <c r="W27" s="33"/>
    </row>
    <row r="28" spans="2:23" x14ac:dyDescent="0.2">
      <c r="B28" s="12"/>
      <c r="C28" s="17">
        <f t="shared" si="1"/>
        <v>1</v>
      </c>
      <c r="D28" s="17">
        <f t="shared" si="2"/>
        <v>1</v>
      </c>
      <c r="E28" s="14">
        <f>SUM(E18:E27)</f>
        <v>1432.5</v>
      </c>
      <c r="F28" s="14">
        <f>SUM(F18:F27)</f>
        <v>1369</v>
      </c>
      <c r="G28" s="14">
        <f>SUM(G18:G27)</f>
        <v>1369</v>
      </c>
      <c r="H28" s="14">
        <f>SUM(H18:H27)</f>
        <v>1369</v>
      </c>
      <c r="I28" s="26"/>
    </row>
    <row r="29" spans="2:23" x14ac:dyDescent="0.2">
      <c r="I29" s="26"/>
    </row>
    <row r="30" spans="2:23" x14ac:dyDescent="0.2">
      <c r="D30" s="10" t="s">
        <v>92</v>
      </c>
      <c r="I30" s="26"/>
    </row>
    <row r="31" spans="2:23" x14ac:dyDescent="0.2">
      <c r="B31" s="11"/>
      <c r="C31" s="62" t="s">
        <v>67</v>
      </c>
      <c r="D31" s="62"/>
      <c r="E31" s="63" t="s">
        <v>69</v>
      </c>
      <c r="F31" s="64"/>
      <c r="G31" s="65"/>
      <c r="I31" s="26"/>
    </row>
    <row r="32" spans="2:23" x14ac:dyDescent="0.2">
      <c r="B32" s="11"/>
      <c r="C32" s="13" t="s">
        <v>66</v>
      </c>
      <c r="D32" s="24" t="s">
        <v>93</v>
      </c>
      <c r="E32" s="14" t="s">
        <v>66</v>
      </c>
      <c r="F32" s="14" t="s">
        <v>72</v>
      </c>
      <c r="G32" s="14" t="s">
        <v>68</v>
      </c>
      <c r="I32" s="26"/>
    </row>
    <row r="33" spans="2:9" x14ac:dyDescent="0.2">
      <c r="B33" s="11" t="s">
        <v>36</v>
      </c>
      <c r="C33" s="18">
        <f t="shared" ref="C33:C42" si="3">E33/$E$43</f>
        <v>6.6985645933014357E-2</v>
      </c>
      <c r="D33" s="18">
        <f t="shared" ref="D33:D42" si="4">AVERAGE(F33:F33)/AVERAGE($F$43:$F$43)</f>
        <v>0.17484388938447815</v>
      </c>
      <c r="E33" s="15">
        <v>84</v>
      </c>
      <c r="F33" s="15">
        <f>'RBS class wise'!H9+'RBS class wise'!H18</f>
        <v>196</v>
      </c>
      <c r="G33" s="15">
        <f>'RBS class wise'!Q9+'RBS class wise'!Q18</f>
        <v>203</v>
      </c>
      <c r="I33" s="26"/>
    </row>
    <row r="34" spans="2:9" x14ac:dyDescent="0.2">
      <c r="B34" s="11" t="s">
        <v>70</v>
      </c>
      <c r="C34" s="16">
        <f t="shared" si="3"/>
        <v>0.13397129186602871</v>
      </c>
      <c r="D34" s="16">
        <f t="shared" si="4"/>
        <v>9.991079393398751E-2</v>
      </c>
      <c r="E34" s="15">
        <f>84+84</f>
        <v>168</v>
      </c>
      <c r="F34" s="15">
        <f>'RBS class wise'!H8</f>
        <v>112</v>
      </c>
      <c r="G34" s="15">
        <f>'RBS class wise'!Q8</f>
        <v>116</v>
      </c>
      <c r="I34" s="26"/>
    </row>
    <row r="35" spans="2:9" x14ac:dyDescent="0.2">
      <c r="B35" s="11" t="s">
        <v>42</v>
      </c>
      <c r="C35" s="16">
        <f t="shared" si="3"/>
        <v>0.12918660287081341</v>
      </c>
      <c r="D35" s="16">
        <f t="shared" si="4"/>
        <v>0.14986619090098127</v>
      </c>
      <c r="E35" s="15">
        <v>162</v>
      </c>
      <c r="F35" s="15">
        <f>'RBS class wise'!H10</f>
        <v>168</v>
      </c>
      <c r="G35" s="15">
        <f>'RBS class wise'!Q10</f>
        <v>174</v>
      </c>
      <c r="I35" s="26"/>
    </row>
    <row r="36" spans="2:9" x14ac:dyDescent="0.2">
      <c r="B36" s="11" t="s">
        <v>20</v>
      </c>
      <c r="C36" s="18">
        <f t="shared" si="3"/>
        <v>0.12918660287081341</v>
      </c>
      <c r="D36" s="18">
        <f t="shared" si="4"/>
        <v>0.22479928635147189</v>
      </c>
      <c r="E36" s="15">
        <v>162</v>
      </c>
      <c r="F36" s="15">
        <f>'RBS class wise'!H11+'RBS class wise'!H12+'RBS class wise'!H13</f>
        <v>252</v>
      </c>
      <c r="G36" s="15">
        <f>'RBS class wise'!Q11+'RBS class wise'!Q12+'RBS class wise'!Q13</f>
        <v>261</v>
      </c>
      <c r="I36" s="26"/>
    </row>
    <row r="37" spans="2:9" x14ac:dyDescent="0.2">
      <c r="B37" s="11" t="s">
        <v>73</v>
      </c>
      <c r="C37" s="16">
        <f t="shared" si="3"/>
        <v>0.23923444976076555</v>
      </c>
      <c r="D37" s="16">
        <f t="shared" si="4"/>
        <v>0.22479928635147189</v>
      </c>
      <c r="E37" s="15">
        <v>300</v>
      </c>
      <c r="F37" s="15">
        <f>'RBS class wise'!H14+'RBS class wise'!H15+'RBS class wise'!H16</f>
        <v>252</v>
      </c>
      <c r="G37" s="15">
        <f>'RBS class wise'!Q14+'RBS class wise'!Q15+'RBS class wise'!Q16</f>
        <v>261</v>
      </c>
      <c r="I37" s="26"/>
    </row>
    <row r="38" spans="2:9" x14ac:dyDescent="0.2">
      <c r="B38" s="11" t="s">
        <v>47</v>
      </c>
      <c r="C38" s="16">
        <f t="shared" si="3"/>
        <v>0.11004784688995216</v>
      </c>
      <c r="D38" s="16">
        <f t="shared" si="4"/>
        <v>4.9955396966993755E-2</v>
      </c>
      <c r="E38" s="15">
        <v>138</v>
      </c>
      <c r="F38" s="15">
        <f>'RBS class wise'!H17</f>
        <v>56</v>
      </c>
      <c r="G38" s="15">
        <f>'RBS class wise'!Q17</f>
        <v>58</v>
      </c>
      <c r="I38" s="26"/>
    </row>
    <row r="39" spans="2:9" x14ac:dyDescent="0.2">
      <c r="B39" s="11" t="s">
        <v>46</v>
      </c>
      <c r="C39" s="18">
        <f t="shared" si="3"/>
        <v>8.6124401913875603E-2</v>
      </c>
      <c r="D39" s="18">
        <f t="shared" si="4"/>
        <v>0</v>
      </c>
      <c r="E39" s="15">
        <v>108</v>
      </c>
      <c r="F39" s="15">
        <f>'RBS class wise'!AI45</f>
        <v>0</v>
      </c>
      <c r="G39" s="15">
        <f>'RBS class wise'!Z45</f>
        <v>0</v>
      </c>
      <c r="I39" s="26"/>
    </row>
    <row r="40" spans="2:9" x14ac:dyDescent="0.2">
      <c r="B40" s="11" t="s">
        <v>45</v>
      </c>
      <c r="C40" s="18">
        <f t="shared" si="3"/>
        <v>0.10526315789473684</v>
      </c>
      <c r="D40" s="18">
        <f t="shared" si="4"/>
        <v>0</v>
      </c>
      <c r="E40" s="15">
        <v>132</v>
      </c>
      <c r="F40" s="15">
        <f>'RBS class wise'!AI46</f>
        <v>0</v>
      </c>
      <c r="G40" s="15">
        <f>'RBS class wise'!Z46</f>
        <v>0</v>
      </c>
      <c r="I40" s="26"/>
    </row>
    <row r="41" spans="2:9" x14ac:dyDescent="0.2">
      <c r="B41" s="11" t="s">
        <v>48</v>
      </c>
      <c r="C41" s="16">
        <f t="shared" si="3"/>
        <v>0</v>
      </c>
      <c r="D41" s="16">
        <f t="shared" si="4"/>
        <v>4.9955396966993755E-2</v>
      </c>
      <c r="E41" s="15"/>
      <c r="F41" s="15">
        <f>'RBS class wise'!H6+'RBS class wise'!H7</f>
        <v>56</v>
      </c>
      <c r="G41" s="15">
        <f>'RBS class wise'!Q6+'RBS class wise'!Q7</f>
        <v>58</v>
      </c>
      <c r="I41" s="26"/>
    </row>
    <row r="42" spans="2:9" x14ac:dyDescent="0.2">
      <c r="B42" s="11" t="s">
        <v>71</v>
      </c>
      <c r="C42" s="16">
        <f t="shared" si="3"/>
        <v>0</v>
      </c>
      <c r="D42" s="16">
        <f t="shared" si="4"/>
        <v>2.5869759143621766E-2</v>
      </c>
      <c r="E42" s="15"/>
      <c r="F42" s="15">
        <v>29</v>
      </c>
      <c r="G42" s="15">
        <v>28</v>
      </c>
      <c r="I42" s="26"/>
    </row>
    <row r="43" spans="2:9" x14ac:dyDescent="0.2">
      <c r="B43" s="12"/>
      <c r="C43" s="17">
        <f>SUM(C33:C42)</f>
        <v>1</v>
      </c>
      <c r="D43" s="17">
        <f>SUM(D33:D42)</f>
        <v>1</v>
      </c>
      <c r="E43" s="14">
        <f>SUM(E33:E41)</f>
        <v>1254</v>
      </c>
      <c r="F43" s="14">
        <f>SUM(F33:F42)</f>
        <v>1121</v>
      </c>
      <c r="G43" s="14">
        <f>SUM(G33:G42)</f>
        <v>1159</v>
      </c>
      <c r="I43" s="26"/>
    </row>
    <row r="44" spans="2:9" x14ac:dyDescent="0.2">
      <c r="B44" s="19" t="s">
        <v>74</v>
      </c>
    </row>
  </sheetData>
  <mergeCells count="6">
    <mergeCell ref="C31:D31"/>
    <mergeCell ref="E31:G31"/>
    <mergeCell ref="C4:D4"/>
    <mergeCell ref="E4:H4"/>
    <mergeCell ref="C16:D16"/>
    <mergeCell ref="E16:H16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24A2-A08F-DA47-B4F2-30D64A2DE167}">
  <sheetPr>
    <pageSetUpPr fitToPage="1"/>
  </sheetPr>
  <dimension ref="C4:N25"/>
  <sheetViews>
    <sheetView showGridLines="0" topLeftCell="B1" workbookViewId="0">
      <selection activeCell="F23" sqref="F23"/>
    </sheetView>
  </sheetViews>
  <sheetFormatPr baseColWidth="10" defaultRowHeight="16" x14ac:dyDescent="0.2"/>
  <cols>
    <col min="1" max="2" width="10.83203125" style="34"/>
    <col min="3" max="3" width="39" style="34" customWidth="1"/>
    <col min="4" max="4" width="13.5" style="25" customWidth="1"/>
    <col min="5" max="6" width="10.83203125" style="25"/>
    <col min="7" max="7" width="14.5" style="25" customWidth="1"/>
    <col min="8" max="10" width="10.83203125" style="25"/>
    <col min="11" max="11" width="14.1640625" style="25" customWidth="1"/>
    <col min="12" max="14" width="10.83203125" style="25"/>
    <col min="15" max="16384" width="10.83203125" style="34"/>
  </cols>
  <sheetData>
    <row r="4" spans="3:14" x14ac:dyDescent="0.2">
      <c r="G4" s="55" t="s">
        <v>118</v>
      </c>
    </row>
    <row r="5" spans="3:14" ht="17" thickBot="1" x14ac:dyDescent="0.25"/>
    <row r="6" spans="3:14" ht="17" thickBot="1" x14ac:dyDescent="0.25">
      <c r="D6" s="56" t="s">
        <v>104</v>
      </c>
      <c r="E6" s="57"/>
      <c r="F6" s="58"/>
      <c r="G6" s="56" t="s">
        <v>108</v>
      </c>
      <c r="H6" s="57"/>
      <c r="I6" s="57"/>
      <c r="J6" s="58"/>
      <c r="K6" s="59" t="s">
        <v>112</v>
      </c>
      <c r="L6" s="60"/>
      <c r="M6" s="60"/>
      <c r="N6" s="61"/>
    </row>
    <row r="7" spans="3:14" ht="31" customHeight="1" x14ac:dyDescent="0.2">
      <c r="C7" s="39"/>
      <c r="D7" s="54" t="s">
        <v>105</v>
      </c>
      <c r="E7" s="35" t="s">
        <v>106</v>
      </c>
      <c r="F7" s="36" t="s">
        <v>107</v>
      </c>
      <c r="G7" s="54" t="s">
        <v>105</v>
      </c>
      <c r="H7" s="35" t="s">
        <v>109</v>
      </c>
      <c r="I7" s="35" t="s">
        <v>110</v>
      </c>
      <c r="J7" s="36" t="s">
        <v>111</v>
      </c>
      <c r="K7" s="54" t="s">
        <v>105</v>
      </c>
      <c r="L7" s="37" t="s">
        <v>113</v>
      </c>
      <c r="M7" s="37" t="s">
        <v>114</v>
      </c>
      <c r="N7" s="38" t="s">
        <v>115</v>
      </c>
    </row>
    <row r="8" spans="3:14" ht="31" customHeight="1" x14ac:dyDescent="0.2">
      <c r="C8" s="40" t="s">
        <v>94</v>
      </c>
      <c r="D8" s="80">
        <v>160</v>
      </c>
      <c r="E8" s="81">
        <f>'NCF summary'!F33-'RBS class wise'!H18</f>
        <v>168</v>
      </c>
      <c r="F8" s="82">
        <f>'NCF summary'!G33-'RBS class wise'!Q18</f>
        <v>174</v>
      </c>
      <c r="G8" s="80">
        <v>160</v>
      </c>
      <c r="H8" s="81">
        <f>'NCF summary'!F18-'RBS class wise'!Z14</f>
        <v>185</v>
      </c>
      <c r="I8" s="81">
        <f>'NCF summary'!G18-'RBS class wise'!AI14</f>
        <v>185</v>
      </c>
      <c r="J8" s="82">
        <f>'NCF summary'!H18-'RBS class wise'!AR14</f>
        <v>148</v>
      </c>
      <c r="K8" s="80">
        <v>140</v>
      </c>
      <c r="L8" s="83">
        <f>'NCF summary'!F6-'RBS class wise'!BA12</f>
        <v>152</v>
      </c>
      <c r="M8" s="83">
        <f>'NCF summary'!G6-'RBS class wise'!BJ12</f>
        <v>152</v>
      </c>
      <c r="N8" s="84">
        <f>'NCF summary'!H6-'RBS class wise'!BS12</f>
        <v>152</v>
      </c>
    </row>
    <row r="9" spans="3:14" ht="31" customHeight="1" x14ac:dyDescent="0.2">
      <c r="C9" s="41" t="s">
        <v>119</v>
      </c>
      <c r="D9" s="80">
        <v>140</v>
      </c>
      <c r="E9" s="85">
        <f>'NCF summary'!F34</f>
        <v>112</v>
      </c>
      <c r="F9" s="86">
        <f>'NCF summary'!G34</f>
        <v>116</v>
      </c>
      <c r="G9" s="80">
        <v>140</v>
      </c>
      <c r="H9" s="85">
        <f>'NCF summary'!F19</f>
        <v>111</v>
      </c>
      <c r="I9" s="85">
        <f>'NCF summary'!G19</f>
        <v>111</v>
      </c>
      <c r="J9" s="86">
        <f>'NCF summary'!H19</f>
        <v>111</v>
      </c>
      <c r="K9" s="80">
        <v>100</v>
      </c>
      <c r="L9" s="83">
        <f>'NCF summary'!F7</f>
        <v>114</v>
      </c>
      <c r="M9" s="83">
        <f>'NCF summary'!G7</f>
        <v>114</v>
      </c>
      <c r="N9" s="84">
        <f>'NCF summary'!H7</f>
        <v>114</v>
      </c>
    </row>
    <row r="10" spans="3:14" ht="31" customHeight="1" x14ac:dyDescent="0.2">
      <c r="C10" s="42" t="s">
        <v>120</v>
      </c>
      <c r="D10" s="87"/>
      <c r="E10" s="88"/>
      <c r="F10" s="89"/>
      <c r="G10" s="87"/>
      <c r="H10" s="88">
        <f>'NCF summary'!F20</f>
        <v>74</v>
      </c>
      <c r="I10" s="88">
        <f>'NCF summary'!G20</f>
        <v>74</v>
      </c>
      <c r="J10" s="89">
        <f>'NCF summary'!H20</f>
        <v>74</v>
      </c>
      <c r="K10" s="87"/>
      <c r="L10" s="88">
        <f>'NCF summary'!F8</f>
        <v>38</v>
      </c>
      <c r="M10" s="88">
        <f>'NCF summary'!G8</f>
        <v>0</v>
      </c>
      <c r="N10" s="89">
        <f>'NCF summary'!H8</f>
        <v>0</v>
      </c>
    </row>
    <row r="11" spans="3:14" ht="31" customHeight="1" x14ac:dyDescent="0.2">
      <c r="C11" s="43" t="s">
        <v>95</v>
      </c>
      <c r="D11" s="80">
        <v>210</v>
      </c>
      <c r="E11" s="90">
        <f>'NCF summary'!F35</f>
        <v>168</v>
      </c>
      <c r="F11" s="91">
        <f>'NCF summary'!G35</f>
        <v>174</v>
      </c>
      <c r="G11" s="80">
        <v>210</v>
      </c>
      <c r="H11" s="90">
        <f>'NCF summary'!F21</f>
        <v>222</v>
      </c>
      <c r="I11" s="90">
        <f>'NCF summary'!G21</f>
        <v>222</v>
      </c>
      <c r="J11" s="91">
        <f>'NCF summary'!H21</f>
        <v>185</v>
      </c>
      <c r="K11" s="80">
        <v>160</v>
      </c>
      <c r="L11" s="83">
        <f>'NCF summary'!F9</f>
        <v>190</v>
      </c>
      <c r="M11" s="83">
        <f>'NCF summary'!G9</f>
        <v>152</v>
      </c>
      <c r="N11" s="84">
        <f>'NCF summary'!H9</f>
        <v>152</v>
      </c>
    </row>
    <row r="12" spans="3:14" ht="31" customHeight="1" x14ac:dyDescent="0.2">
      <c r="C12" s="40" t="s">
        <v>98</v>
      </c>
      <c r="D12" s="80">
        <v>210</v>
      </c>
      <c r="E12" s="81">
        <f>'NCF summary'!F36</f>
        <v>252</v>
      </c>
      <c r="F12" s="82">
        <f>'NCF summary'!G36</f>
        <v>261</v>
      </c>
      <c r="G12" s="80">
        <v>210</v>
      </c>
      <c r="H12" s="81">
        <f>'NCF summary'!F22</f>
        <v>185</v>
      </c>
      <c r="I12" s="81">
        <f>'NCF summary'!G22</f>
        <v>185</v>
      </c>
      <c r="J12" s="82">
        <f>'NCF summary'!H22</f>
        <v>185</v>
      </c>
      <c r="K12" s="80">
        <v>140</v>
      </c>
      <c r="L12" s="83">
        <f>'NCF summary'!F10</f>
        <v>152</v>
      </c>
      <c r="M12" s="83">
        <f>'NCF summary'!G10</f>
        <v>114</v>
      </c>
      <c r="N12" s="84">
        <f>'NCF summary'!H10</f>
        <v>114</v>
      </c>
    </row>
    <row r="13" spans="3:14" ht="31" customHeight="1" x14ac:dyDescent="0.2">
      <c r="C13" s="40" t="s">
        <v>102</v>
      </c>
      <c r="D13" s="80">
        <v>245</v>
      </c>
      <c r="E13" s="81">
        <f>'NCF summary'!F37</f>
        <v>252</v>
      </c>
      <c r="F13" s="82">
        <f>'NCF summary'!G37</f>
        <v>261</v>
      </c>
      <c r="G13" s="80">
        <v>210</v>
      </c>
      <c r="H13" s="81">
        <f>'NCF summary'!F23</f>
        <v>148</v>
      </c>
      <c r="I13" s="81">
        <f>'NCF summary'!G23</f>
        <v>148</v>
      </c>
      <c r="J13" s="82">
        <f>'NCF summary'!H23</f>
        <v>148</v>
      </c>
      <c r="K13" s="80">
        <v>0</v>
      </c>
      <c r="L13" s="83"/>
      <c r="M13" s="83"/>
      <c r="N13" s="84"/>
    </row>
    <row r="14" spans="3:14" ht="31" customHeight="1" thickBot="1" x14ac:dyDescent="0.25">
      <c r="C14" s="41" t="s">
        <v>96</v>
      </c>
      <c r="D14" s="92">
        <v>32</v>
      </c>
      <c r="E14" s="85">
        <f>'RBS class wise'!H18</f>
        <v>28</v>
      </c>
      <c r="F14" s="86">
        <f>'RBS class wise'!Q18</f>
        <v>29</v>
      </c>
      <c r="G14" s="92">
        <v>70</v>
      </c>
      <c r="H14" s="85">
        <f>'RBS class wise'!Z14</f>
        <v>37</v>
      </c>
      <c r="I14" s="85">
        <f>'RBS class wise'!AI14</f>
        <v>37</v>
      </c>
      <c r="J14" s="86">
        <f>'RBS class wise'!AR14</f>
        <v>37</v>
      </c>
      <c r="K14" s="92">
        <v>70</v>
      </c>
      <c r="L14" s="93">
        <f>'RBS class wise'!BA12</f>
        <v>76</v>
      </c>
      <c r="M14" s="93">
        <f>'RBS class wise'!BJ12</f>
        <v>76</v>
      </c>
      <c r="N14" s="94">
        <f>'RBS class wise'!BS12</f>
        <v>76</v>
      </c>
    </row>
    <row r="15" spans="3:14" ht="31" customHeight="1" thickBot="1" x14ac:dyDescent="0.25">
      <c r="C15" s="48" t="s">
        <v>116</v>
      </c>
      <c r="D15" s="95">
        <f t="shared" ref="D15:N15" si="0">SUM(D8:D14)</f>
        <v>997</v>
      </c>
      <c r="E15" s="96">
        <f t="shared" si="0"/>
        <v>980</v>
      </c>
      <c r="F15" s="97">
        <f t="shared" si="0"/>
        <v>1015</v>
      </c>
      <c r="G15" s="95">
        <f t="shared" si="0"/>
        <v>1000</v>
      </c>
      <c r="H15" s="96">
        <f t="shared" si="0"/>
        <v>962</v>
      </c>
      <c r="I15" s="96">
        <f t="shared" si="0"/>
        <v>962</v>
      </c>
      <c r="J15" s="97">
        <f t="shared" si="0"/>
        <v>888</v>
      </c>
      <c r="K15" s="95">
        <f t="shared" si="0"/>
        <v>610</v>
      </c>
      <c r="L15" s="98">
        <f t="shared" si="0"/>
        <v>722</v>
      </c>
      <c r="M15" s="98">
        <f t="shared" si="0"/>
        <v>608</v>
      </c>
      <c r="N15" s="99">
        <f t="shared" si="0"/>
        <v>608</v>
      </c>
    </row>
    <row r="16" spans="3:14" ht="31" customHeight="1" x14ac:dyDescent="0.2">
      <c r="C16" s="47" t="s">
        <v>44</v>
      </c>
      <c r="D16" s="100">
        <v>32</v>
      </c>
      <c r="E16" s="101">
        <f>'NCF summary'!F38</f>
        <v>56</v>
      </c>
      <c r="F16" s="102">
        <f>'NCF summary'!G38</f>
        <v>58</v>
      </c>
      <c r="G16" s="100">
        <v>140</v>
      </c>
      <c r="H16" s="101">
        <f>'NCF summary'!F24</f>
        <v>185</v>
      </c>
      <c r="I16" s="101">
        <f>'NCF summary'!G24</f>
        <v>185</v>
      </c>
      <c r="J16" s="102">
        <f>'NCF summary'!H24</f>
        <v>259</v>
      </c>
      <c r="K16" s="100">
        <v>260</v>
      </c>
      <c r="L16" s="101">
        <f>'NCF summary'!F11</f>
        <v>456</v>
      </c>
      <c r="M16" s="101">
        <f>'NCF summary'!G11</f>
        <v>418</v>
      </c>
      <c r="N16" s="102">
        <f>'NCF summary'!H11</f>
        <v>418</v>
      </c>
    </row>
    <row r="17" spans="3:14" ht="31" customHeight="1" x14ac:dyDescent="0.2">
      <c r="C17" s="44" t="s">
        <v>99</v>
      </c>
      <c r="D17" s="80">
        <v>0</v>
      </c>
      <c r="E17" s="83">
        <f>'NCF summary'!F39</f>
        <v>0</v>
      </c>
      <c r="F17" s="84">
        <f>'NCF summary'!G39</f>
        <v>0</v>
      </c>
      <c r="G17" s="80">
        <v>70</v>
      </c>
      <c r="H17" s="83">
        <f>'NCF summary'!F25</f>
        <v>37</v>
      </c>
      <c r="I17" s="83">
        <f>'NCF summary'!G25</f>
        <v>37</v>
      </c>
      <c r="J17" s="84">
        <f>'NCF summary'!H25</f>
        <v>37</v>
      </c>
      <c r="K17" s="80">
        <v>64</v>
      </c>
      <c r="L17" s="83">
        <f>'NCF summary'!F12</f>
        <v>38</v>
      </c>
      <c r="M17" s="83">
        <f>'NCF summary'!G12</f>
        <v>38</v>
      </c>
      <c r="N17" s="84">
        <f>'NCF summary'!H12</f>
        <v>38</v>
      </c>
    </row>
    <row r="18" spans="3:14" ht="31" customHeight="1" x14ac:dyDescent="0.2">
      <c r="C18" s="44" t="s">
        <v>103</v>
      </c>
      <c r="D18" s="80">
        <v>64</v>
      </c>
      <c r="E18" s="83">
        <f>'NCF summary'!F42</f>
        <v>29</v>
      </c>
      <c r="F18" s="84">
        <f>'NCF summary'!G42</f>
        <v>28</v>
      </c>
      <c r="G18" s="80">
        <v>70</v>
      </c>
      <c r="H18" s="83">
        <f>'NCF summary'!F26</f>
        <v>74</v>
      </c>
      <c r="I18" s="83">
        <f>'NCF summary'!G26</f>
        <v>74</v>
      </c>
      <c r="J18" s="84">
        <f>'NCF summary'!H26</f>
        <v>74</v>
      </c>
      <c r="K18" s="80">
        <v>64</v>
      </c>
      <c r="L18" s="83"/>
      <c r="M18" s="83"/>
      <c r="N18" s="84"/>
    </row>
    <row r="19" spans="3:14" ht="31" customHeight="1" thickBot="1" x14ac:dyDescent="0.25">
      <c r="C19" s="49" t="s">
        <v>48</v>
      </c>
      <c r="D19" s="92">
        <v>64</v>
      </c>
      <c r="E19" s="93">
        <f>'NCF summary'!F41</f>
        <v>56</v>
      </c>
      <c r="F19" s="94">
        <f>'NCF summary'!G41</f>
        <v>58</v>
      </c>
      <c r="G19" s="92">
        <v>225</v>
      </c>
      <c r="H19" s="93">
        <f>'NCF summary'!F27</f>
        <v>111</v>
      </c>
      <c r="I19" s="93">
        <f>'NCF summary'!G27</f>
        <v>111</v>
      </c>
      <c r="J19" s="94">
        <f>'NCF summary'!H27</f>
        <v>111</v>
      </c>
      <c r="K19" s="92">
        <v>128</v>
      </c>
      <c r="L19" s="93">
        <f>'NCF summary'!F13</f>
        <v>76</v>
      </c>
      <c r="M19" s="93">
        <f>'NCF summary'!G13</f>
        <v>76</v>
      </c>
      <c r="N19" s="94">
        <f>'NCF summary'!H13</f>
        <v>76</v>
      </c>
    </row>
    <row r="20" spans="3:14" ht="31" customHeight="1" thickBot="1" x14ac:dyDescent="0.25">
      <c r="C20" s="51" t="s">
        <v>117</v>
      </c>
      <c r="D20" s="103">
        <f t="shared" ref="D20:N20" si="1">SUM(D16:D19)</f>
        <v>160</v>
      </c>
      <c r="E20" s="104">
        <f t="shared" si="1"/>
        <v>141</v>
      </c>
      <c r="F20" s="105">
        <f t="shared" si="1"/>
        <v>144</v>
      </c>
      <c r="G20" s="103">
        <f t="shared" si="1"/>
        <v>505</v>
      </c>
      <c r="H20" s="104">
        <f t="shared" si="1"/>
        <v>407</v>
      </c>
      <c r="I20" s="104">
        <f t="shared" si="1"/>
        <v>407</v>
      </c>
      <c r="J20" s="105">
        <f t="shared" si="1"/>
        <v>481</v>
      </c>
      <c r="K20" s="103">
        <f t="shared" si="1"/>
        <v>516</v>
      </c>
      <c r="L20" s="104">
        <f t="shared" si="1"/>
        <v>570</v>
      </c>
      <c r="M20" s="104">
        <f t="shared" si="1"/>
        <v>532</v>
      </c>
      <c r="N20" s="105">
        <f t="shared" si="1"/>
        <v>532</v>
      </c>
    </row>
    <row r="21" spans="3:14" ht="10" customHeight="1" x14ac:dyDescent="0.2">
      <c r="C21" s="50"/>
      <c r="D21" s="106"/>
      <c r="E21" s="107"/>
      <c r="F21" s="108"/>
      <c r="G21" s="106"/>
      <c r="H21" s="107"/>
      <c r="I21" s="107"/>
      <c r="J21" s="108"/>
      <c r="K21" s="106"/>
      <c r="L21" s="107"/>
      <c r="M21" s="107"/>
      <c r="N21" s="108"/>
    </row>
    <row r="22" spans="3:14" ht="31" customHeight="1" x14ac:dyDescent="0.2">
      <c r="C22" s="45" t="s">
        <v>97</v>
      </c>
      <c r="D22" s="109">
        <f t="shared" ref="D22:N22" si="2">D15+D20</f>
        <v>1157</v>
      </c>
      <c r="E22" s="110">
        <f t="shared" si="2"/>
        <v>1121</v>
      </c>
      <c r="F22" s="111">
        <f t="shared" si="2"/>
        <v>1159</v>
      </c>
      <c r="G22" s="109">
        <f t="shared" si="2"/>
        <v>1505</v>
      </c>
      <c r="H22" s="110">
        <f t="shared" si="2"/>
        <v>1369</v>
      </c>
      <c r="I22" s="110">
        <f t="shared" si="2"/>
        <v>1369</v>
      </c>
      <c r="J22" s="111">
        <f t="shared" si="2"/>
        <v>1369</v>
      </c>
      <c r="K22" s="109">
        <f t="shared" si="2"/>
        <v>1126</v>
      </c>
      <c r="L22" s="110">
        <f t="shared" si="2"/>
        <v>1292</v>
      </c>
      <c r="M22" s="110">
        <f t="shared" si="2"/>
        <v>1140</v>
      </c>
      <c r="N22" s="111">
        <f t="shared" si="2"/>
        <v>1140</v>
      </c>
    </row>
    <row r="23" spans="3:14" ht="10" customHeight="1" thickBot="1" x14ac:dyDescent="0.25">
      <c r="C23" s="52"/>
      <c r="D23" s="112"/>
      <c r="E23" s="113"/>
      <c r="F23" s="114"/>
      <c r="G23" s="112"/>
      <c r="H23" s="113"/>
      <c r="I23" s="113"/>
      <c r="J23" s="114"/>
      <c r="K23" s="112"/>
      <c r="L23" s="115"/>
      <c r="M23" s="115"/>
      <c r="N23" s="116"/>
    </row>
    <row r="24" spans="3:14" ht="31" customHeight="1" x14ac:dyDescent="0.2">
      <c r="C24" s="53" t="s">
        <v>100</v>
      </c>
      <c r="D24" s="117">
        <f t="shared" ref="D24:N24" si="3">D15/D22</f>
        <v>0.86171132238547965</v>
      </c>
      <c r="E24" s="118">
        <f t="shared" si="3"/>
        <v>0.87421944692239073</v>
      </c>
      <c r="F24" s="119">
        <f t="shared" si="3"/>
        <v>0.87575496117342533</v>
      </c>
      <c r="G24" s="117">
        <f t="shared" si="3"/>
        <v>0.66445182724252494</v>
      </c>
      <c r="H24" s="118">
        <f t="shared" si="3"/>
        <v>0.70270270270270274</v>
      </c>
      <c r="I24" s="118">
        <f t="shared" si="3"/>
        <v>0.70270270270270274</v>
      </c>
      <c r="J24" s="119">
        <f t="shared" si="3"/>
        <v>0.64864864864864868</v>
      </c>
      <c r="K24" s="117">
        <f t="shared" si="3"/>
        <v>0.54174067495559508</v>
      </c>
      <c r="L24" s="120">
        <f t="shared" si="3"/>
        <v>0.55882352941176472</v>
      </c>
      <c r="M24" s="120">
        <f t="shared" si="3"/>
        <v>0.53333333333333333</v>
      </c>
      <c r="N24" s="121">
        <f t="shared" si="3"/>
        <v>0.53333333333333333</v>
      </c>
    </row>
    <row r="25" spans="3:14" ht="31" customHeight="1" thickBot="1" x14ac:dyDescent="0.25">
      <c r="C25" s="46" t="s">
        <v>101</v>
      </c>
      <c r="D25" s="122">
        <f t="shared" ref="D25:N25" si="4">D20/D22</f>
        <v>0.13828867761452032</v>
      </c>
      <c r="E25" s="123">
        <f t="shared" si="4"/>
        <v>0.12578055307760927</v>
      </c>
      <c r="F25" s="124">
        <f t="shared" si="4"/>
        <v>0.12424503882657463</v>
      </c>
      <c r="G25" s="122">
        <f t="shared" si="4"/>
        <v>0.33554817275747506</v>
      </c>
      <c r="H25" s="123">
        <f t="shared" si="4"/>
        <v>0.29729729729729731</v>
      </c>
      <c r="I25" s="123">
        <f t="shared" si="4"/>
        <v>0.29729729729729731</v>
      </c>
      <c r="J25" s="124">
        <f t="shared" si="4"/>
        <v>0.35135135135135137</v>
      </c>
      <c r="K25" s="122">
        <f t="shared" si="4"/>
        <v>0.45825932504440497</v>
      </c>
      <c r="L25" s="125">
        <f t="shared" si="4"/>
        <v>0.44117647058823528</v>
      </c>
      <c r="M25" s="125">
        <f t="shared" si="4"/>
        <v>0.46666666666666667</v>
      </c>
      <c r="N25" s="126">
        <f t="shared" si="4"/>
        <v>0.46666666666666667</v>
      </c>
    </row>
  </sheetData>
  <mergeCells count="3">
    <mergeCell ref="D6:F6"/>
    <mergeCell ref="G6:J6"/>
    <mergeCell ref="K6:N6"/>
  </mergeCells>
  <pageMargins left="0.7" right="0.7" top="0.75" bottom="0.75" header="0.3" footer="0.3"/>
  <pageSetup paperSize="9" scale="6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25E1-847B-5F49-8F91-806756FFE43F}">
  <dimension ref="A1:BS47"/>
  <sheetViews>
    <sheetView showGridLines="0" zoomScale="110" zoomScaleNormal="110" workbookViewId="0">
      <selection activeCell="H16" sqref="H16"/>
    </sheetView>
  </sheetViews>
  <sheetFormatPr baseColWidth="10" defaultRowHeight="16" x14ac:dyDescent="0.2"/>
  <cols>
    <col min="1" max="1" width="13.1640625" customWidth="1"/>
    <col min="2" max="2" width="29.83203125" customWidth="1"/>
    <col min="3" max="3" width="12.5" bestFit="1" customWidth="1"/>
    <col min="4" max="4" width="16" bestFit="1" customWidth="1"/>
    <col min="5" max="5" width="12.6640625" bestFit="1" customWidth="1"/>
    <col min="11" max="11" width="20.1640625" customWidth="1"/>
    <col min="20" max="20" width="31.1640625" customWidth="1"/>
    <col min="55" max="55" width="11.6640625" customWidth="1"/>
    <col min="64" max="64" width="16.1640625" customWidth="1"/>
  </cols>
  <sheetData>
    <row r="1" spans="1:71" ht="17" thickBot="1" x14ac:dyDescent="0.25"/>
    <row r="2" spans="1:71" x14ac:dyDescent="0.2">
      <c r="A2" s="67" t="s">
        <v>0</v>
      </c>
      <c r="B2" s="67" t="s">
        <v>1</v>
      </c>
      <c r="C2" s="67" t="s">
        <v>2</v>
      </c>
      <c r="D2" s="72" t="s">
        <v>3</v>
      </c>
      <c r="E2" s="73"/>
      <c r="F2" s="76" t="s">
        <v>4</v>
      </c>
      <c r="G2" s="77"/>
      <c r="H2" s="67" t="s">
        <v>5</v>
      </c>
      <c r="J2" s="67" t="s">
        <v>0</v>
      </c>
      <c r="K2" s="67" t="s">
        <v>1</v>
      </c>
      <c r="L2" s="67" t="s">
        <v>2</v>
      </c>
      <c r="M2" s="72" t="s">
        <v>3</v>
      </c>
      <c r="N2" s="73"/>
      <c r="O2" s="76" t="s">
        <v>4</v>
      </c>
      <c r="P2" s="77"/>
      <c r="Q2" s="67" t="s">
        <v>5</v>
      </c>
      <c r="S2" s="67" t="s">
        <v>0</v>
      </c>
      <c r="T2" s="67" t="s">
        <v>1</v>
      </c>
      <c r="U2" s="67" t="s">
        <v>2</v>
      </c>
      <c r="V2" s="72" t="s">
        <v>3</v>
      </c>
      <c r="W2" s="73"/>
      <c r="X2" s="76" t="s">
        <v>4</v>
      </c>
      <c r="Y2" s="77"/>
      <c r="Z2" s="67" t="s">
        <v>5</v>
      </c>
      <c r="AB2" s="67" t="s">
        <v>0</v>
      </c>
      <c r="AC2" s="67" t="s">
        <v>1</v>
      </c>
      <c r="AD2" s="67" t="s">
        <v>2</v>
      </c>
      <c r="AE2" s="72" t="s">
        <v>3</v>
      </c>
      <c r="AF2" s="73"/>
      <c r="AG2" s="76" t="s">
        <v>4</v>
      </c>
      <c r="AH2" s="77"/>
      <c r="AI2" s="67" t="s">
        <v>5</v>
      </c>
      <c r="AK2" s="67" t="s">
        <v>0</v>
      </c>
      <c r="AL2" s="67" t="s">
        <v>1</v>
      </c>
      <c r="AM2" s="67" t="s">
        <v>2</v>
      </c>
      <c r="AN2" s="72" t="s">
        <v>3</v>
      </c>
      <c r="AO2" s="73"/>
      <c r="AP2" s="76" t="s">
        <v>4</v>
      </c>
      <c r="AQ2" s="77"/>
      <c r="AR2" s="67" t="s">
        <v>5</v>
      </c>
      <c r="AT2" s="67" t="s">
        <v>0</v>
      </c>
      <c r="AU2" s="67" t="s">
        <v>1</v>
      </c>
      <c r="AV2" s="67" t="s">
        <v>2</v>
      </c>
      <c r="AW2" s="72" t="s">
        <v>3</v>
      </c>
      <c r="AX2" s="73"/>
      <c r="AY2" s="76" t="s">
        <v>4</v>
      </c>
      <c r="AZ2" s="77"/>
      <c r="BA2" s="67" t="s">
        <v>5</v>
      </c>
      <c r="BC2" s="67" t="s">
        <v>0</v>
      </c>
      <c r="BD2" s="67" t="s">
        <v>1</v>
      </c>
      <c r="BE2" s="67" t="s">
        <v>2</v>
      </c>
      <c r="BF2" s="72" t="s">
        <v>3</v>
      </c>
      <c r="BG2" s="73"/>
      <c r="BH2" s="76" t="s">
        <v>4</v>
      </c>
      <c r="BI2" s="77"/>
      <c r="BJ2" s="67" t="s">
        <v>5</v>
      </c>
      <c r="BL2" s="67" t="s">
        <v>0</v>
      </c>
      <c r="BM2" s="67" t="s">
        <v>1</v>
      </c>
      <c r="BN2" s="67" t="s">
        <v>2</v>
      </c>
      <c r="BO2" s="72" t="s">
        <v>3</v>
      </c>
      <c r="BP2" s="73"/>
      <c r="BQ2" s="76" t="s">
        <v>4</v>
      </c>
      <c r="BR2" s="77"/>
      <c r="BS2" s="67" t="s">
        <v>5</v>
      </c>
    </row>
    <row r="3" spans="1:71" ht="17" thickBot="1" x14ac:dyDescent="0.25">
      <c r="A3" s="68"/>
      <c r="B3" s="68"/>
      <c r="C3" s="68"/>
      <c r="D3" s="74"/>
      <c r="E3" s="75"/>
      <c r="F3" s="78"/>
      <c r="G3" s="79"/>
      <c r="H3" s="68"/>
      <c r="J3" s="68"/>
      <c r="K3" s="68"/>
      <c r="L3" s="68"/>
      <c r="M3" s="74"/>
      <c r="N3" s="75"/>
      <c r="O3" s="78"/>
      <c r="P3" s="79"/>
      <c r="Q3" s="68"/>
      <c r="S3" s="68"/>
      <c r="T3" s="68"/>
      <c r="U3" s="68"/>
      <c r="V3" s="74"/>
      <c r="W3" s="75"/>
      <c r="X3" s="78"/>
      <c r="Y3" s="79"/>
      <c r="Z3" s="68"/>
      <c r="AB3" s="68"/>
      <c r="AC3" s="68"/>
      <c r="AD3" s="68"/>
      <c r="AE3" s="74"/>
      <c r="AF3" s="75"/>
      <c r="AG3" s="78"/>
      <c r="AH3" s="79"/>
      <c r="AI3" s="68"/>
      <c r="AK3" s="68"/>
      <c r="AL3" s="68"/>
      <c r="AM3" s="68"/>
      <c r="AN3" s="74"/>
      <c r="AO3" s="75"/>
      <c r="AP3" s="78"/>
      <c r="AQ3" s="79"/>
      <c r="AR3" s="68"/>
      <c r="AT3" s="68"/>
      <c r="AU3" s="68"/>
      <c r="AV3" s="68"/>
      <c r="AW3" s="74"/>
      <c r="AX3" s="75"/>
      <c r="AY3" s="78"/>
      <c r="AZ3" s="79"/>
      <c r="BA3" s="68"/>
      <c r="BC3" s="68"/>
      <c r="BD3" s="68"/>
      <c r="BE3" s="68"/>
      <c r="BF3" s="74"/>
      <c r="BG3" s="75"/>
      <c r="BH3" s="78"/>
      <c r="BI3" s="79"/>
      <c r="BJ3" s="68"/>
      <c r="BL3" s="68"/>
      <c r="BM3" s="68"/>
      <c r="BN3" s="68"/>
      <c r="BO3" s="74"/>
      <c r="BP3" s="75"/>
      <c r="BQ3" s="78"/>
      <c r="BR3" s="79"/>
      <c r="BS3" s="68"/>
    </row>
    <row r="4" spans="1:71" ht="36" x14ac:dyDescent="0.2">
      <c r="A4" s="68"/>
      <c r="B4" s="68"/>
      <c r="C4" s="68"/>
      <c r="D4" s="4" t="s">
        <v>61</v>
      </c>
      <c r="E4" s="4" t="s">
        <v>8</v>
      </c>
      <c r="F4" s="4" t="s">
        <v>10</v>
      </c>
      <c r="G4" s="4" t="s">
        <v>63</v>
      </c>
      <c r="H4" s="68"/>
      <c r="J4" s="68"/>
      <c r="K4" s="68"/>
      <c r="L4" s="68"/>
      <c r="M4" s="4" t="s">
        <v>6</v>
      </c>
      <c r="N4" s="4" t="s">
        <v>8</v>
      </c>
      <c r="O4" s="4" t="s">
        <v>10</v>
      </c>
      <c r="P4" s="4" t="s">
        <v>49</v>
      </c>
      <c r="Q4" s="68"/>
      <c r="S4" s="68"/>
      <c r="T4" s="68"/>
      <c r="U4" s="68"/>
      <c r="V4" s="4" t="s">
        <v>6</v>
      </c>
      <c r="W4" s="4" t="s">
        <v>8</v>
      </c>
      <c r="X4" s="4" t="s">
        <v>10</v>
      </c>
      <c r="Y4" s="4" t="s">
        <v>12</v>
      </c>
      <c r="Z4" s="68"/>
      <c r="AB4" s="68"/>
      <c r="AC4" s="68"/>
      <c r="AD4" s="68"/>
      <c r="AE4" s="4" t="s">
        <v>6</v>
      </c>
      <c r="AF4" s="4" t="s">
        <v>8</v>
      </c>
      <c r="AG4" s="4" t="s">
        <v>10</v>
      </c>
      <c r="AH4" s="4" t="s">
        <v>12</v>
      </c>
      <c r="AI4" s="68"/>
      <c r="AK4" s="68"/>
      <c r="AL4" s="68"/>
      <c r="AM4" s="68"/>
      <c r="AN4" s="4" t="s">
        <v>6</v>
      </c>
      <c r="AO4" s="4" t="s">
        <v>8</v>
      </c>
      <c r="AP4" s="4" t="s">
        <v>10</v>
      </c>
      <c r="AQ4" s="4" t="s">
        <v>12</v>
      </c>
      <c r="AR4" s="68"/>
      <c r="AT4" s="68"/>
      <c r="AU4" s="68"/>
      <c r="AV4" s="68"/>
      <c r="AW4" s="4" t="s">
        <v>6</v>
      </c>
      <c r="AX4" s="4" t="s">
        <v>8</v>
      </c>
      <c r="AY4" s="4" t="s">
        <v>10</v>
      </c>
      <c r="AZ4" s="4" t="s">
        <v>12</v>
      </c>
      <c r="BA4" s="68"/>
      <c r="BC4" s="68"/>
      <c r="BD4" s="68"/>
      <c r="BE4" s="68"/>
      <c r="BF4" s="4" t="s">
        <v>6</v>
      </c>
      <c r="BG4" s="4" t="s">
        <v>8</v>
      </c>
      <c r="BH4" s="4" t="s">
        <v>10</v>
      </c>
      <c r="BI4" s="4" t="s">
        <v>12</v>
      </c>
      <c r="BJ4" s="68"/>
      <c r="BL4" s="68"/>
      <c r="BM4" s="68"/>
      <c r="BN4" s="68"/>
      <c r="BO4" s="4" t="s">
        <v>6</v>
      </c>
      <c r="BP4" s="4" t="s">
        <v>8</v>
      </c>
      <c r="BQ4" s="4" t="s">
        <v>10</v>
      </c>
      <c r="BR4" s="4" t="s">
        <v>12</v>
      </c>
      <c r="BS4" s="68"/>
    </row>
    <row r="5" spans="1:71" ht="33" thickBot="1" x14ac:dyDescent="0.25">
      <c r="A5" s="69"/>
      <c r="B5" s="69"/>
      <c r="C5" s="69"/>
      <c r="D5" s="5" t="s">
        <v>11</v>
      </c>
      <c r="E5" s="5" t="s">
        <v>9</v>
      </c>
      <c r="F5" s="5" t="s">
        <v>62</v>
      </c>
      <c r="G5" s="5" t="s">
        <v>64</v>
      </c>
      <c r="H5" s="69"/>
      <c r="J5" s="69"/>
      <c r="K5" s="69"/>
      <c r="L5" s="69"/>
      <c r="M5" s="5" t="s">
        <v>7</v>
      </c>
      <c r="N5" s="5" t="s">
        <v>9</v>
      </c>
      <c r="O5" s="5" t="s">
        <v>11</v>
      </c>
      <c r="P5" s="5" t="s">
        <v>50</v>
      </c>
      <c r="Q5" s="69"/>
      <c r="S5" s="69"/>
      <c r="T5" s="69"/>
      <c r="U5" s="69"/>
      <c r="V5" s="5" t="s">
        <v>7</v>
      </c>
      <c r="W5" s="5" t="s">
        <v>9</v>
      </c>
      <c r="X5" s="5" t="s">
        <v>11</v>
      </c>
      <c r="Y5" s="5" t="s">
        <v>13</v>
      </c>
      <c r="Z5" s="69"/>
      <c r="AB5" s="69"/>
      <c r="AC5" s="69"/>
      <c r="AD5" s="69"/>
      <c r="AE5" s="5" t="s">
        <v>7</v>
      </c>
      <c r="AF5" s="5" t="s">
        <v>9</v>
      </c>
      <c r="AG5" s="5" t="s">
        <v>11</v>
      </c>
      <c r="AH5" s="5" t="s">
        <v>13</v>
      </c>
      <c r="AI5" s="69"/>
      <c r="AK5" s="69"/>
      <c r="AL5" s="69"/>
      <c r="AM5" s="69"/>
      <c r="AN5" s="5" t="s">
        <v>7</v>
      </c>
      <c r="AO5" s="5" t="s">
        <v>9</v>
      </c>
      <c r="AP5" s="5" t="s">
        <v>11</v>
      </c>
      <c r="AQ5" s="5" t="s">
        <v>13</v>
      </c>
      <c r="AR5" s="69"/>
      <c r="AT5" s="69"/>
      <c r="AU5" s="69"/>
      <c r="AV5" s="69"/>
      <c r="AW5" s="5" t="s">
        <v>7</v>
      </c>
      <c r="AX5" s="5" t="s">
        <v>75</v>
      </c>
      <c r="AY5" s="5" t="s">
        <v>11</v>
      </c>
      <c r="AZ5" s="5" t="s">
        <v>13</v>
      </c>
      <c r="BA5" s="69"/>
      <c r="BC5" s="69"/>
      <c r="BD5" s="69"/>
      <c r="BE5" s="69"/>
      <c r="BF5" s="5" t="s">
        <v>7</v>
      </c>
      <c r="BG5" s="5" t="s">
        <v>75</v>
      </c>
      <c r="BH5" s="5" t="s">
        <v>11</v>
      </c>
      <c r="BI5" s="5" t="s">
        <v>13</v>
      </c>
      <c r="BJ5" s="69"/>
      <c r="BL5" s="69"/>
      <c r="BM5" s="69"/>
      <c r="BN5" s="69"/>
      <c r="BO5" s="5" t="s">
        <v>7</v>
      </c>
      <c r="BP5" s="5" t="s">
        <v>75</v>
      </c>
      <c r="BQ5" s="5" t="s">
        <v>11</v>
      </c>
      <c r="BR5" s="5" t="s">
        <v>13</v>
      </c>
      <c r="BS5" s="69"/>
    </row>
    <row r="6" spans="1:71" ht="21" thickBot="1" x14ac:dyDescent="0.25">
      <c r="A6" s="6"/>
      <c r="B6" s="8" t="s">
        <v>15</v>
      </c>
      <c r="C6" s="8">
        <v>1</v>
      </c>
      <c r="D6" s="70">
        <v>22</v>
      </c>
      <c r="E6" s="71"/>
      <c r="F6" s="70">
        <v>6</v>
      </c>
      <c r="G6" s="71"/>
      <c r="H6" s="8">
        <v>28</v>
      </c>
      <c r="J6" s="6"/>
      <c r="K6" s="8" t="s">
        <v>15</v>
      </c>
      <c r="L6" s="8">
        <v>1</v>
      </c>
      <c r="M6" s="70">
        <v>20</v>
      </c>
      <c r="N6" s="71"/>
      <c r="O6" s="70">
        <v>9</v>
      </c>
      <c r="P6" s="71"/>
      <c r="Q6" s="8">
        <v>29</v>
      </c>
      <c r="S6" s="6"/>
      <c r="T6" s="8" t="s">
        <v>15</v>
      </c>
      <c r="U6" s="8">
        <v>1</v>
      </c>
      <c r="V6" s="70">
        <v>20</v>
      </c>
      <c r="W6" s="71"/>
      <c r="X6" s="70">
        <v>17</v>
      </c>
      <c r="Y6" s="71"/>
      <c r="Z6" s="8">
        <v>37</v>
      </c>
      <c r="AB6" s="6"/>
      <c r="AC6" s="8" t="s">
        <v>15</v>
      </c>
      <c r="AD6" s="8">
        <v>1</v>
      </c>
      <c r="AE6" s="70">
        <v>20</v>
      </c>
      <c r="AF6" s="71"/>
      <c r="AG6" s="70">
        <v>17</v>
      </c>
      <c r="AH6" s="71"/>
      <c r="AI6" s="8">
        <v>37</v>
      </c>
      <c r="AK6" s="6"/>
      <c r="AL6" s="8" t="s">
        <v>15</v>
      </c>
      <c r="AM6" s="8">
        <v>1</v>
      </c>
      <c r="AN6" s="70">
        <v>20</v>
      </c>
      <c r="AO6" s="71"/>
      <c r="AP6" s="70">
        <v>17</v>
      </c>
      <c r="AQ6" s="71"/>
      <c r="AR6" s="8">
        <v>37</v>
      </c>
      <c r="AT6" s="6"/>
      <c r="AU6" s="8" t="s">
        <v>15</v>
      </c>
      <c r="AV6" s="8">
        <v>1</v>
      </c>
      <c r="AW6" s="70">
        <v>21</v>
      </c>
      <c r="AX6" s="71"/>
      <c r="AY6" s="70">
        <v>17</v>
      </c>
      <c r="AZ6" s="71"/>
      <c r="BA6" s="8">
        <v>38</v>
      </c>
      <c r="BC6" s="6"/>
      <c r="BD6" s="8" t="s">
        <v>15</v>
      </c>
      <c r="BE6" s="8">
        <v>1</v>
      </c>
      <c r="BF6" s="70">
        <v>21</v>
      </c>
      <c r="BG6" s="71"/>
      <c r="BH6" s="70">
        <v>17</v>
      </c>
      <c r="BI6" s="71"/>
      <c r="BJ6" s="8">
        <v>38</v>
      </c>
      <c r="BL6" s="6"/>
      <c r="BM6" s="8" t="s">
        <v>15</v>
      </c>
      <c r="BN6" s="8">
        <v>1</v>
      </c>
      <c r="BO6" s="70">
        <v>21</v>
      </c>
      <c r="BP6" s="71"/>
      <c r="BQ6" s="70">
        <v>17</v>
      </c>
      <c r="BR6" s="71"/>
      <c r="BS6" s="8">
        <v>38</v>
      </c>
    </row>
    <row r="7" spans="1:71" ht="41" customHeight="1" thickBot="1" x14ac:dyDescent="0.25">
      <c r="A7" s="1"/>
      <c r="B7" s="8" t="s">
        <v>52</v>
      </c>
      <c r="C7" s="8">
        <v>1</v>
      </c>
      <c r="D7" s="70">
        <v>22</v>
      </c>
      <c r="E7" s="71"/>
      <c r="F7" s="70">
        <v>6</v>
      </c>
      <c r="G7" s="71"/>
      <c r="H7" s="8">
        <v>28</v>
      </c>
      <c r="J7" s="1"/>
      <c r="K7" s="8" t="s">
        <v>52</v>
      </c>
      <c r="L7" s="8">
        <v>1</v>
      </c>
      <c r="M7" s="70">
        <v>20</v>
      </c>
      <c r="N7" s="71"/>
      <c r="O7" s="70">
        <v>9</v>
      </c>
      <c r="P7" s="71"/>
      <c r="Q7" s="8">
        <v>29</v>
      </c>
      <c r="S7" s="1"/>
      <c r="T7" s="8" t="s">
        <v>16</v>
      </c>
      <c r="U7" s="8">
        <v>1</v>
      </c>
      <c r="V7" s="70">
        <v>20</v>
      </c>
      <c r="W7" s="71"/>
      <c r="X7" s="70">
        <v>17</v>
      </c>
      <c r="Y7" s="71"/>
      <c r="Z7" s="8">
        <v>37</v>
      </c>
      <c r="AB7" s="1"/>
      <c r="AC7" s="8" t="s">
        <v>16</v>
      </c>
      <c r="AD7" s="8">
        <v>1</v>
      </c>
      <c r="AE7" s="70">
        <v>20</v>
      </c>
      <c r="AF7" s="71"/>
      <c r="AG7" s="70">
        <v>17</v>
      </c>
      <c r="AH7" s="71"/>
      <c r="AI7" s="8">
        <v>37</v>
      </c>
      <c r="AK7" s="1"/>
      <c r="AL7" s="8" t="s">
        <v>16</v>
      </c>
      <c r="AM7" s="8">
        <v>1</v>
      </c>
      <c r="AN7" s="70">
        <v>20</v>
      </c>
      <c r="AO7" s="71"/>
      <c r="AP7" s="70">
        <v>17</v>
      </c>
      <c r="AQ7" s="71"/>
      <c r="AR7" s="8">
        <v>37</v>
      </c>
      <c r="AT7" s="1"/>
      <c r="AU7" s="8" t="s">
        <v>77</v>
      </c>
      <c r="AV7" s="8">
        <v>1</v>
      </c>
      <c r="AW7" s="70">
        <v>21</v>
      </c>
      <c r="AX7" s="71"/>
      <c r="AY7" s="70">
        <v>17</v>
      </c>
      <c r="AZ7" s="71"/>
      <c r="BA7" s="8">
        <v>38</v>
      </c>
      <c r="BC7" s="1"/>
      <c r="BD7" s="8" t="s">
        <v>77</v>
      </c>
      <c r="BE7" s="8">
        <v>1</v>
      </c>
      <c r="BF7" s="70">
        <v>21</v>
      </c>
      <c r="BG7" s="71"/>
      <c r="BH7" s="70">
        <v>17</v>
      </c>
      <c r="BI7" s="71"/>
      <c r="BJ7" s="8">
        <v>38</v>
      </c>
      <c r="BL7" s="1"/>
      <c r="BM7" s="8" t="s">
        <v>77</v>
      </c>
      <c r="BN7" s="8">
        <v>1</v>
      </c>
      <c r="BO7" s="70">
        <v>21</v>
      </c>
      <c r="BP7" s="71"/>
      <c r="BQ7" s="70">
        <v>17</v>
      </c>
      <c r="BR7" s="71"/>
      <c r="BS7" s="8">
        <v>38</v>
      </c>
    </row>
    <row r="8" spans="1:71" ht="41" customHeight="1" thickBot="1" x14ac:dyDescent="0.25">
      <c r="A8" s="1"/>
      <c r="B8" s="9" t="s">
        <v>53</v>
      </c>
      <c r="C8" s="8">
        <v>4</v>
      </c>
      <c r="D8" s="70">
        <v>88</v>
      </c>
      <c r="E8" s="71"/>
      <c r="F8" s="70">
        <v>24</v>
      </c>
      <c r="G8" s="71"/>
      <c r="H8" s="8">
        <v>112</v>
      </c>
      <c r="J8" s="1"/>
      <c r="K8" s="9" t="s">
        <v>53</v>
      </c>
      <c r="L8" s="8">
        <v>4</v>
      </c>
      <c r="M8" s="70">
        <v>80</v>
      </c>
      <c r="N8" s="71"/>
      <c r="O8" s="70">
        <v>36</v>
      </c>
      <c r="P8" s="71"/>
      <c r="Q8" s="8">
        <v>116</v>
      </c>
      <c r="S8" s="1"/>
      <c r="T8" s="8" t="s">
        <v>17</v>
      </c>
      <c r="U8" s="8">
        <v>1</v>
      </c>
      <c r="V8" s="70">
        <v>20</v>
      </c>
      <c r="W8" s="71"/>
      <c r="X8" s="70">
        <v>17</v>
      </c>
      <c r="Y8" s="71"/>
      <c r="Z8" s="8">
        <v>37</v>
      </c>
      <c r="AB8" s="1"/>
      <c r="AC8" s="8" t="s">
        <v>17</v>
      </c>
      <c r="AD8" s="8">
        <v>1</v>
      </c>
      <c r="AE8" s="70">
        <v>20</v>
      </c>
      <c r="AF8" s="71"/>
      <c r="AG8" s="70">
        <v>17</v>
      </c>
      <c r="AH8" s="71"/>
      <c r="AI8" s="8">
        <v>37</v>
      </c>
      <c r="AK8" s="1"/>
      <c r="AL8" s="8" t="s">
        <v>17</v>
      </c>
      <c r="AM8" s="8">
        <v>1</v>
      </c>
      <c r="AN8" s="70">
        <v>20</v>
      </c>
      <c r="AO8" s="71"/>
      <c r="AP8" s="70">
        <v>17</v>
      </c>
      <c r="AQ8" s="71"/>
      <c r="AR8" s="8">
        <v>37</v>
      </c>
      <c r="AT8" s="1"/>
      <c r="AU8" s="8" t="s">
        <v>18</v>
      </c>
      <c r="AV8" s="8">
        <v>3</v>
      </c>
      <c r="AW8" s="70">
        <v>63</v>
      </c>
      <c r="AX8" s="71"/>
      <c r="AY8" s="70">
        <v>51</v>
      </c>
      <c r="AZ8" s="71"/>
      <c r="BA8" s="8">
        <v>114</v>
      </c>
      <c r="BC8" s="1"/>
      <c r="BD8" s="8" t="s">
        <v>18</v>
      </c>
      <c r="BE8" s="8">
        <v>3</v>
      </c>
      <c r="BF8" s="70">
        <v>63</v>
      </c>
      <c r="BG8" s="71"/>
      <c r="BH8" s="70">
        <v>51</v>
      </c>
      <c r="BI8" s="71"/>
      <c r="BJ8" s="8">
        <v>114</v>
      </c>
      <c r="BL8" s="1"/>
      <c r="BM8" s="8" t="s">
        <v>18</v>
      </c>
      <c r="BN8" s="8">
        <v>3</v>
      </c>
      <c r="BO8" s="70">
        <v>63</v>
      </c>
      <c r="BP8" s="71"/>
      <c r="BQ8" s="70">
        <v>51</v>
      </c>
      <c r="BR8" s="71"/>
      <c r="BS8" s="8">
        <v>114</v>
      </c>
    </row>
    <row r="9" spans="1:71" ht="21" thickBot="1" x14ac:dyDescent="0.25">
      <c r="A9" s="1"/>
      <c r="B9" s="8" t="s">
        <v>19</v>
      </c>
      <c r="C9" s="8">
        <v>6</v>
      </c>
      <c r="D9" s="70">
        <v>132</v>
      </c>
      <c r="E9" s="71"/>
      <c r="F9" s="70">
        <v>36</v>
      </c>
      <c r="G9" s="71"/>
      <c r="H9" s="9">
        <v>168</v>
      </c>
      <c r="J9" s="1"/>
      <c r="K9" s="8" t="s">
        <v>19</v>
      </c>
      <c r="L9" s="8">
        <v>6</v>
      </c>
      <c r="M9" s="70">
        <v>120</v>
      </c>
      <c r="N9" s="71"/>
      <c r="O9" s="70">
        <v>54</v>
      </c>
      <c r="P9" s="71"/>
      <c r="Q9" s="9">
        <v>174</v>
      </c>
      <c r="S9" s="1"/>
      <c r="T9" s="8" t="s">
        <v>18</v>
      </c>
      <c r="U9" s="8">
        <v>3</v>
      </c>
      <c r="V9" s="70">
        <v>60</v>
      </c>
      <c r="W9" s="71"/>
      <c r="X9" s="70">
        <v>51</v>
      </c>
      <c r="Y9" s="71"/>
      <c r="Z9" s="8">
        <v>111</v>
      </c>
      <c r="AB9" s="1"/>
      <c r="AC9" s="8" t="s">
        <v>18</v>
      </c>
      <c r="AD9" s="8">
        <v>3</v>
      </c>
      <c r="AE9" s="70">
        <v>60</v>
      </c>
      <c r="AF9" s="71"/>
      <c r="AG9" s="70">
        <v>51</v>
      </c>
      <c r="AH9" s="71"/>
      <c r="AI9" s="8">
        <v>111</v>
      </c>
      <c r="AK9" s="1"/>
      <c r="AL9" s="8" t="s">
        <v>18</v>
      </c>
      <c r="AM9" s="8">
        <v>3</v>
      </c>
      <c r="AN9" s="70">
        <v>60</v>
      </c>
      <c r="AO9" s="71"/>
      <c r="AP9" s="70">
        <v>51</v>
      </c>
      <c r="AQ9" s="71"/>
      <c r="AR9" s="8">
        <v>111</v>
      </c>
      <c r="AT9" s="1"/>
      <c r="AU9" s="8" t="s">
        <v>19</v>
      </c>
      <c r="AV9" s="8">
        <v>4</v>
      </c>
      <c r="AW9" s="70">
        <v>84</v>
      </c>
      <c r="AX9" s="71"/>
      <c r="AY9" s="70">
        <v>68</v>
      </c>
      <c r="AZ9" s="71"/>
      <c r="BA9" s="8">
        <v>152</v>
      </c>
      <c r="BC9" s="1"/>
      <c r="BD9" s="8" t="s">
        <v>19</v>
      </c>
      <c r="BE9" s="8">
        <v>4</v>
      </c>
      <c r="BF9" s="70">
        <v>84</v>
      </c>
      <c r="BG9" s="71"/>
      <c r="BH9" s="70">
        <v>68</v>
      </c>
      <c r="BI9" s="71"/>
      <c r="BJ9" s="8">
        <v>152</v>
      </c>
      <c r="BL9" s="1"/>
      <c r="BM9" s="8" t="s">
        <v>19</v>
      </c>
      <c r="BN9" s="8">
        <v>4</v>
      </c>
      <c r="BO9" s="70">
        <v>84</v>
      </c>
      <c r="BP9" s="71"/>
      <c r="BQ9" s="70">
        <v>68</v>
      </c>
      <c r="BR9" s="71"/>
      <c r="BS9" s="8">
        <v>152</v>
      </c>
    </row>
    <row r="10" spans="1:71" ht="143" customHeight="1" thickBot="1" x14ac:dyDescent="0.25">
      <c r="A10" s="7" t="s">
        <v>65</v>
      </c>
      <c r="B10" s="8" t="s">
        <v>54</v>
      </c>
      <c r="C10" s="8">
        <v>6</v>
      </c>
      <c r="D10" s="70">
        <v>132</v>
      </c>
      <c r="E10" s="71"/>
      <c r="F10" s="70">
        <v>36</v>
      </c>
      <c r="G10" s="71"/>
      <c r="H10" s="8">
        <v>168</v>
      </c>
      <c r="J10" s="7" t="s">
        <v>51</v>
      </c>
      <c r="K10" s="8" t="s">
        <v>54</v>
      </c>
      <c r="L10" s="8">
        <v>6</v>
      </c>
      <c r="M10" s="70">
        <v>120</v>
      </c>
      <c r="N10" s="71"/>
      <c r="O10" s="70">
        <v>54</v>
      </c>
      <c r="P10" s="71"/>
      <c r="Q10" s="8">
        <v>174</v>
      </c>
      <c r="S10" s="7" t="s">
        <v>14</v>
      </c>
      <c r="T10" s="8" t="s">
        <v>19</v>
      </c>
      <c r="U10" s="8">
        <v>5</v>
      </c>
      <c r="V10" s="70">
        <v>100</v>
      </c>
      <c r="W10" s="71"/>
      <c r="X10" s="70">
        <v>85</v>
      </c>
      <c r="Y10" s="71"/>
      <c r="Z10" s="8">
        <v>185</v>
      </c>
      <c r="AB10" s="7" t="s">
        <v>31</v>
      </c>
      <c r="AC10" s="8" t="s">
        <v>19</v>
      </c>
      <c r="AD10" s="8">
        <v>5</v>
      </c>
      <c r="AE10" s="70">
        <v>100</v>
      </c>
      <c r="AF10" s="71"/>
      <c r="AG10" s="70">
        <v>85</v>
      </c>
      <c r="AH10" s="71"/>
      <c r="AI10" s="8">
        <v>185</v>
      </c>
      <c r="AK10" s="7" t="s">
        <v>32</v>
      </c>
      <c r="AL10" s="8" t="s">
        <v>19</v>
      </c>
      <c r="AM10" s="8">
        <v>4</v>
      </c>
      <c r="AN10" s="70">
        <v>80</v>
      </c>
      <c r="AO10" s="71"/>
      <c r="AP10" s="70">
        <v>68</v>
      </c>
      <c r="AQ10" s="71"/>
      <c r="AR10" s="8">
        <v>148</v>
      </c>
      <c r="AT10" s="22" t="s">
        <v>76</v>
      </c>
      <c r="AU10" s="8" t="s">
        <v>78</v>
      </c>
      <c r="AV10" s="8">
        <v>4</v>
      </c>
      <c r="AW10" s="70">
        <v>84</v>
      </c>
      <c r="AX10" s="71"/>
      <c r="AY10" s="70">
        <v>68</v>
      </c>
      <c r="AZ10" s="71"/>
      <c r="BA10" s="8">
        <v>152</v>
      </c>
      <c r="BC10" s="23" t="s">
        <v>83</v>
      </c>
      <c r="BD10" s="8" t="s">
        <v>78</v>
      </c>
      <c r="BE10" s="8">
        <v>3</v>
      </c>
      <c r="BF10" s="70">
        <v>63</v>
      </c>
      <c r="BG10" s="71"/>
      <c r="BH10" s="70">
        <v>51</v>
      </c>
      <c r="BI10" s="71"/>
      <c r="BJ10" s="8">
        <v>114</v>
      </c>
      <c r="BL10" s="23" t="s">
        <v>85</v>
      </c>
      <c r="BM10" s="8" t="s">
        <v>78</v>
      </c>
      <c r="BN10" s="8">
        <v>3</v>
      </c>
      <c r="BO10" s="70">
        <v>63</v>
      </c>
      <c r="BP10" s="71"/>
      <c r="BQ10" s="70">
        <v>51</v>
      </c>
      <c r="BR10" s="71"/>
      <c r="BS10" s="8">
        <v>114</v>
      </c>
    </row>
    <row r="11" spans="1:71" ht="21" thickBot="1" x14ac:dyDescent="0.25">
      <c r="A11" s="2"/>
      <c r="B11" s="8" t="s">
        <v>55</v>
      </c>
      <c r="C11" s="8">
        <v>3</v>
      </c>
      <c r="D11" s="70">
        <v>66</v>
      </c>
      <c r="E11" s="71"/>
      <c r="F11" s="70">
        <v>18</v>
      </c>
      <c r="G11" s="71"/>
      <c r="H11" s="8">
        <v>84</v>
      </c>
      <c r="J11" s="2"/>
      <c r="K11" s="8" t="s">
        <v>55</v>
      </c>
      <c r="L11" s="8">
        <v>3</v>
      </c>
      <c r="M11" s="70">
        <v>60</v>
      </c>
      <c r="N11" s="71"/>
      <c r="O11" s="70">
        <v>27</v>
      </c>
      <c r="P11" s="71"/>
      <c r="Q11" s="8">
        <v>87</v>
      </c>
      <c r="S11" s="2"/>
      <c r="T11" s="8" t="s">
        <v>20</v>
      </c>
      <c r="U11" s="8">
        <v>5</v>
      </c>
      <c r="V11" s="70">
        <v>100</v>
      </c>
      <c r="W11" s="71"/>
      <c r="X11" s="70">
        <v>85</v>
      </c>
      <c r="Y11" s="71"/>
      <c r="Z11" s="8">
        <v>185</v>
      </c>
      <c r="AB11" s="2"/>
      <c r="AC11" s="8" t="s">
        <v>20</v>
      </c>
      <c r="AD11" s="8">
        <v>5</v>
      </c>
      <c r="AE11" s="70">
        <v>100</v>
      </c>
      <c r="AF11" s="71"/>
      <c r="AG11" s="70">
        <v>85</v>
      </c>
      <c r="AH11" s="71"/>
      <c r="AI11" s="8">
        <v>185</v>
      </c>
      <c r="AK11" s="2"/>
      <c r="AL11" s="8" t="s">
        <v>20</v>
      </c>
      <c r="AM11" s="8">
        <v>5</v>
      </c>
      <c r="AN11" s="70">
        <v>100</v>
      </c>
      <c r="AO11" s="71"/>
      <c r="AP11" s="70">
        <v>85</v>
      </c>
      <c r="AQ11" s="71"/>
      <c r="AR11" s="8">
        <v>185</v>
      </c>
      <c r="AT11" s="2"/>
      <c r="AU11" s="8" t="s">
        <v>21</v>
      </c>
      <c r="AV11" s="8">
        <v>5</v>
      </c>
      <c r="AW11" s="70">
        <v>105</v>
      </c>
      <c r="AX11" s="71"/>
      <c r="AY11" s="70">
        <v>85</v>
      </c>
      <c r="AZ11" s="71"/>
      <c r="BA11" s="8">
        <v>190</v>
      </c>
      <c r="BC11" s="2"/>
      <c r="BD11" s="8" t="s">
        <v>21</v>
      </c>
      <c r="BE11" s="8">
        <v>4</v>
      </c>
      <c r="BF11" s="70">
        <v>84</v>
      </c>
      <c r="BG11" s="71"/>
      <c r="BH11" s="70">
        <v>68</v>
      </c>
      <c r="BI11" s="71"/>
      <c r="BJ11" s="8">
        <v>152</v>
      </c>
      <c r="BL11" s="2"/>
      <c r="BM11" s="8" t="s">
        <v>21</v>
      </c>
      <c r="BN11" s="8">
        <v>4</v>
      </c>
      <c r="BO11" s="70">
        <v>84</v>
      </c>
      <c r="BP11" s="71"/>
      <c r="BQ11" s="70">
        <v>68</v>
      </c>
      <c r="BR11" s="71"/>
      <c r="BS11" s="8">
        <v>152</v>
      </c>
    </row>
    <row r="12" spans="1:71" ht="41" customHeight="1" thickBot="1" x14ac:dyDescent="0.25">
      <c r="A12" s="2"/>
      <c r="B12" s="8" t="s">
        <v>56</v>
      </c>
      <c r="C12" s="8">
        <v>3</v>
      </c>
      <c r="D12" s="70">
        <v>66</v>
      </c>
      <c r="E12" s="71"/>
      <c r="F12" s="70">
        <v>18</v>
      </c>
      <c r="G12" s="71"/>
      <c r="H12" s="8">
        <v>84</v>
      </c>
      <c r="J12" s="2"/>
      <c r="K12" s="8" t="s">
        <v>56</v>
      </c>
      <c r="L12" s="8">
        <v>3</v>
      </c>
      <c r="M12" s="70">
        <v>60</v>
      </c>
      <c r="N12" s="71"/>
      <c r="O12" s="70">
        <v>27</v>
      </c>
      <c r="P12" s="71"/>
      <c r="Q12" s="8">
        <v>87</v>
      </c>
      <c r="S12" s="2"/>
      <c r="T12" s="8" t="s">
        <v>21</v>
      </c>
      <c r="U12" s="8">
        <v>6</v>
      </c>
      <c r="V12" s="70">
        <v>120</v>
      </c>
      <c r="W12" s="71"/>
      <c r="X12" s="70">
        <v>102</v>
      </c>
      <c r="Y12" s="71"/>
      <c r="Z12" s="8">
        <v>222</v>
      </c>
      <c r="AB12" s="2"/>
      <c r="AC12" s="8" t="s">
        <v>21</v>
      </c>
      <c r="AD12" s="8">
        <v>6</v>
      </c>
      <c r="AE12" s="70">
        <v>120</v>
      </c>
      <c r="AF12" s="71"/>
      <c r="AG12" s="70">
        <v>102</v>
      </c>
      <c r="AH12" s="71"/>
      <c r="AI12" s="8">
        <v>222</v>
      </c>
      <c r="AK12" s="2"/>
      <c r="AL12" s="8" t="s">
        <v>21</v>
      </c>
      <c r="AM12" s="8">
        <v>5</v>
      </c>
      <c r="AN12" s="70">
        <v>100</v>
      </c>
      <c r="AO12" s="71"/>
      <c r="AP12" s="70">
        <v>85</v>
      </c>
      <c r="AQ12" s="71"/>
      <c r="AR12" s="8">
        <v>185</v>
      </c>
      <c r="AT12" s="2"/>
      <c r="AU12" s="8" t="s">
        <v>23</v>
      </c>
      <c r="AV12" s="8">
        <v>2</v>
      </c>
      <c r="AW12" s="70">
        <v>42</v>
      </c>
      <c r="AX12" s="71"/>
      <c r="AY12" s="70">
        <v>34</v>
      </c>
      <c r="AZ12" s="71"/>
      <c r="BA12" s="8">
        <v>76</v>
      </c>
      <c r="BC12" s="2"/>
      <c r="BD12" s="8" t="s">
        <v>23</v>
      </c>
      <c r="BE12" s="8">
        <v>2</v>
      </c>
      <c r="BF12" s="70">
        <v>42</v>
      </c>
      <c r="BG12" s="71"/>
      <c r="BH12" s="70">
        <v>34</v>
      </c>
      <c r="BI12" s="71"/>
      <c r="BJ12" s="8">
        <v>76</v>
      </c>
      <c r="BL12" s="2"/>
      <c r="BM12" s="8" t="s">
        <v>23</v>
      </c>
      <c r="BN12" s="8">
        <v>2</v>
      </c>
      <c r="BO12" s="70">
        <v>42</v>
      </c>
      <c r="BP12" s="71"/>
      <c r="BQ12" s="70">
        <v>34</v>
      </c>
      <c r="BR12" s="71"/>
      <c r="BS12" s="8">
        <v>76</v>
      </c>
    </row>
    <row r="13" spans="1:71" ht="21" thickBot="1" x14ac:dyDescent="0.25">
      <c r="A13" s="2"/>
      <c r="B13" s="8" t="s">
        <v>57</v>
      </c>
      <c r="C13" s="8">
        <v>3</v>
      </c>
      <c r="D13" s="70">
        <v>66</v>
      </c>
      <c r="E13" s="71"/>
      <c r="F13" s="70">
        <v>18</v>
      </c>
      <c r="G13" s="71"/>
      <c r="H13" s="8">
        <v>84</v>
      </c>
      <c r="J13" s="2"/>
      <c r="K13" s="8" t="s">
        <v>57</v>
      </c>
      <c r="L13" s="8">
        <v>3</v>
      </c>
      <c r="M13" s="70">
        <v>60</v>
      </c>
      <c r="N13" s="71"/>
      <c r="O13" s="70">
        <v>27</v>
      </c>
      <c r="P13" s="71"/>
      <c r="Q13" s="8">
        <v>87</v>
      </c>
      <c r="S13" s="2"/>
      <c r="T13" s="8" t="s">
        <v>22</v>
      </c>
      <c r="U13" s="8">
        <v>2</v>
      </c>
      <c r="V13" s="70">
        <v>40</v>
      </c>
      <c r="W13" s="71"/>
      <c r="X13" s="70">
        <v>34</v>
      </c>
      <c r="Y13" s="71"/>
      <c r="Z13" s="8">
        <v>74</v>
      </c>
      <c r="AB13" s="2"/>
      <c r="AC13" s="8" t="s">
        <v>22</v>
      </c>
      <c r="AD13" s="8">
        <v>2</v>
      </c>
      <c r="AE13" s="70">
        <v>40</v>
      </c>
      <c r="AF13" s="71"/>
      <c r="AG13" s="70">
        <v>34</v>
      </c>
      <c r="AH13" s="71"/>
      <c r="AI13" s="8">
        <v>74</v>
      </c>
      <c r="AK13" s="2"/>
      <c r="AL13" s="8" t="s">
        <v>22</v>
      </c>
      <c r="AM13" s="8">
        <v>2</v>
      </c>
      <c r="AN13" s="70">
        <v>40</v>
      </c>
      <c r="AO13" s="71"/>
      <c r="AP13" s="70">
        <v>34</v>
      </c>
      <c r="AQ13" s="71"/>
      <c r="AR13" s="8">
        <v>74</v>
      </c>
      <c r="AT13" s="2"/>
      <c r="AU13" s="8" t="s">
        <v>79</v>
      </c>
      <c r="AV13" s="8">
        <v>2</v>
      </c>
      <c r="AW13" s="70">
        <v>42</v>
      </c>
      <c r="AX13" s="71"/>
      <c r="AY13" s="70">
        <v>34</v>
      </c>
      <c r="AZ13" s="71"/>
      <c r="BA13" s="8">
        <v>76</v>
      </c>
      <c r="BC13" s="2"/>
      <c r="BD13" s="8" t="s">
        <v>79</v>
      </c>
      <c r="BE13" s="8">
        <v>2</v>
      </c>
      <c r="BF13" s="70">
        <v>42</v>
      </c>
      <c r="BG13" s="71"/>
      <c r="BH13" s="70">
        <v>34</v>
      </c>
      <c r="BI13" s="71"/>
      <c r="BJ13" s="8">
        <v>76</v>
      </c>
      <c r="BL13" s="2"/>
      <c r="BM13" s="8" t="s">
        <v>79</v>
      </c>
      <c r="BN13" s="8">
        <v>2</v>
      </c>
      <c r="BO13" s="70">
        <v>42</v>
      </c>
      <c r="BP13" s="71"/>
      <c r="BQ13" s="70">
        <v>34</v>
      </c>
      <c r="BR13" s="71"/>
      <c r="BS13" s="8">
        <v>76</v>
      </c>
    </row>
    <row r="14" spans="1:71" ht="41" customHeight="1" thickBot="1" x14ac:dyDescent="0.25">
      <c r="A14" s="2"/>
      <c r="B14" s="8" t="s">
        <v>58</v>
      </c>
      <c r="C14" s="8">
        <v>4</v>
      </c>
      <c r="D14" s="70">
        <v>88</v>
      </c>
      <c r="E14" s="71"/>
      <c r="F14" s="70">
        <v>24</v>
      </c>
      <c r="G14" s="71"/>
      <c r="H14" s="8">
        <v>112</v>
      </c>
      <c r="J14" s="2"/>
      <c r="K14" s="8" t="s">
        <v>58</v>
      </c>
      <c r="L14" s="8">
        <v>4</v>
      </c>
      <c r="M14" s="70">
        <v>80</v>
      </c>
      <c r="N14" s="71"/>
      <c r="O14" s="70">
        <v>36</v>
      </c>
      <c r="P14" s="71"/>
      <c r="Q14" s="8">
        <v>116</v>
      </c>
      <c r="S14" s="2"/>
      <c r="T14" s="8" t="s">
        <v>23</v>
      </c>
      <c r="U14" s="8">
        <v>1</v>
      </c>
      <c r="V14" s="70">
        <v>20</v>
      </c>
      <c r="W14" s="71"/>
      <c r="X14" s="70">
        <v>17</v>
      </c>
      <c r="Y14" s="71"/>
      <c r="Z14" s="8">
        <v>37</v>
      </c>
      <c r="AB14" s="2"/>
      <c r="AC14" s="8" t="s">
        <v>23</v>
      </c>
      <c r="AD14" s="8">
        <v>1</v>
      </c>
      <c r="AE14" s="70">
        <v>20</v>
      </c>
      <c r="AF14" s="71"/>
      <c r="AG14" s="70">
        <v>17</v>
      </c>
      <c r="AH14" s="71"/>
      <c r="AI14" s="8">
        <v>37</v>
      </c>
      <c r="AK14" s="2"/>
      <c r="AL14" s="8" t="s">
        <v>23</v>
      </c>
      <c r="AM14" s="8">
        <v>1</v>
      </c>
      <c r="AN14" s="70">
        <v>20</v>
      </c>
      <c r="AO14" s="71"/>
      <c r="AP14" s="70">
        <v>17</v>
      </c>
      <c r="AQ14" s="71"/>
      <c r="AR14" s="8">
        <v>37</v>
      </c>
      <c r="AT14" s="2"/>
      <c r="AU14" s="8" t="s">
        <v>34</v>
      </c>
      <c r="AV14" s="8">
        <v>2</v>
      </c>
      <c r="AW14" s="70">
        <v>42</v>
      </c>
      <c r="AX14" s="71"/>
      <c r="AY14" s="70">
        <v>34</v>
      </c>
      <c r="AZ14" s="71"/>
      <c r="BA14" s="8">
        <v>76</v>
      </c>
      <c r="BC14" s="2"/>
      <c r="BD14" s="8" t="s">
        <v>34</v>
      </c>
      <c r="BE14" s="8">
        <v>2</v>
      </c>
      <c r="BF14" s="70">
        <v>42</v>
      </c>
      <c r="BG14" s="71"/>
      <c r="BH14" s="70">
        <v>34</v>
      </c>
      <c r="BI14" s="71"/>
      <c r="BJ14" s="8">
        <v>76</v>
      </c>
      <c r="BL14" s="2"/>
      <c r="BM14" s="8" t="s">
        <v>34</v>
      </c>
      <c r="BN14" s="8">
        <v>2</v>
      </c>
      <c r="BO14" s="70">
        <v>42</v>
      </c>
      <c r="BP14" s="71"/>
      <c r="BQ14" s="70">
        <v>34</v>
      </c>
      <c r="BR14" s="71"/>
      <c r="BS14" s="8">
        <v>76</v>
      </c>
    </row>
    <row r="15" spans="1:71" ht="41" thickBot="1" x14ac:dyDescent="0.25">
      <c r="A15" s="2"/>
      <c r="B15" s="8" t="s">
        <v>59</v>
      </c>
      <c r="C15" s="8">
        <v>3</v>
      </c>
      <c r="D15" s="70">
        <v>66</v>
      </c>
      <c r="E15" s="71"/>
      <c r="F15" s="70">
        <v>18</v>
      </c>
      <c r="G15" s="71"/>
      <c r="H15" s="8">
        <v>84</v>
      </c>
      <c r="J15" s="2"/>
      <c r="K15" s="8" t="s">
        <v>59</v>
      </c>
      <c r="L15" s="8">
        <v>3</v>
      </c>
      <c r="M15" s="70">
        <v>60</v>
      </c>
      <c r="N15" s="71"/>
      <c r="O15" s="70">
        <v>27</v>
      </c>
      <c r="P15" s="71"/>
      <c r="Q15" s="8">
        <v>87</v>
      </c>
      <c r="S15" s="2"/>
      <c r="T15" s="8" t="s">
        <v>24</v>
      </c>
      <c r="U15" s="8">
        <v>2</v>
      </c>
      <c r="V15" s="70">
        <v>40</v>
      </c>
      <c r="W15" s="71"/>
      <c r="X15" s="70">
        <v>34</v>
      </c>
      <c r="Y15" s="71"/>
      <c r="Z15" s="8">
        <v>74</v>
      </c>
      <c r="AB15" s="2"/>
      <c r="AC15" s="8" t="s">
        <v>24</v>
      </c>
      <c r="AD15" s="8">
        <v>2</v>
      </c>
      <c r="AE15" s="70">
        <v>40</v>
      </c>
      <c r="AF15" s="71"/>
      <c r="AG15" s="70">
        <v>34</v>
      </c>
      <c r="AH15" s="71"/>
      <c r="AI15" s="8">
        <v>74</v>
      </c>
      <c r="AK15" s="2"/>
      <c r="AL15" s="8" t="s">
        <v>33</v>
      </c>
      <c r="AM15" s="8">
        <v>2</v>
      </c>
      <c r="AN15" s="70">
        <v>40</v>
      </c>
      <c r="AO15" s="71"/>
      <c r="AP15" s="70">
        <v>34</v>
      </c>
      <c r="AQ15" s="71"/>
      <c r="AR15" s="8">
        <v>74</v>
      </c>
      <c r="AT15" s="2"/>
      <c r="AU15" s="8" t="s">
        <v>22</v>
      </c>
      <c r="AV15" s="8">
        <v>1</v>
      </c>
      <c r="AW15" s="70">
        <v>21</v>
      </c>
      <c r="AX15" s="71"/>
      <c r="AY15" s="70">
        <v>17</v>
      </c>
      <c r="AZ15" s="71"/>
      <c r="BA15" s="8">
        <v>38</v>
      </c>
      <c r="BC15" s="2"/>
      <c r="BD15" s="8" t="s">
        <v>84</v>
      </c>
      <c r="BE15" s="8">
        <v>1</v>
      </c>
      <c r="BF15" s="70">
        <v>21</v>
      </c>
      <c r="BG15" s="71"/>
      <c r="BH15" s="70">
        <v>17</v>
      </c>
      <c r="BI15" s="71"/>
      <c r="BJ15" s="8">
        <v>38</v>
      </c>
      <c r="BL15" s="2"/>
      <c r="BM15" s="8" t="s">
        <v>84</v>
      </c>
      <c r="BN15" s="8">
        <v>1</v>
      </c>
      <c r="BO15" s="70">
        <v>21</v>
      </c>
      <c r="BP15" s="71"/>
      <c r="BQ15" s="70">
        <v>17</v>
      </c>
      <c r="BR15" s="71"/>
      <c r="BS15" s="8">
        <v>38</v>
      </c>
    </row>
    <row r="16" spans="1:71" ht="41" thickBot="1" x14ac:dyDescent="0.25">
      <c r="A16" s="2"/>
      <c r="B16" s="8" t="s">
        <v>60</v>
      </c>
      <c r="C16" s="8">
        <v>2</v>
      </c>
      <c r="D16" s="70">
        <v>44</v>
      </c>
      <c r="E16" s="71"/>
      <c r="F16" s="70">
        <v>12</v>
      </c>
      <c r="G16" s="71"/>
      <c r="H16" s="8">
        <v>56</v>
      </c>
      <c r="J16" s="2"/>
      <c r="K16" s="8" t="s">
        <v>60</v>
      </c>
      <c r="L16" s="8">
        <v>2</v>
      </c>
      <c r="M16" s="70">
        <v>40</v>
      </c>
      <c r="N16" s="71"/>
      <c r="O16" s="70">
        <v>18</v>
      </c>
      <c r="P16" s="71"/>
      <c r="Q16" s="8">
        <v>58</v>
      </c>
      <c r="S16" s="2"/>
      <c r="T16" s="8" t="s">
        <v>25</v>
      </c>
      <c r="U16" s="8">
        <v>2</v>
      </c>
      <c r="V16" s="70">
        <v>40</v>
      </c>
      <c r="W16" s="71"/>
      <c r="X16" s="70">
        <v>34</v>
      </c>
      <c r="Y16" s="71"/>
      <c r="Z16" s="8">
        <v>74</v>
      </c>
      <c r="AB16" s="2"/>
      <c r="AC16" s="8" t="s">
        <v>25</v>
      </c>
      <c r="AD16" s="8">
        <v>2</v>
      </c>
      <c r="AE16" s="70">
        <v>40</v>
      </c>
      <c r="AF16" s="71"/>
      <c r="AG16" s="70">
        <v>34</v>
      </c>
      <c r="AH16" s="71"/>
      <c r="AI16" s="8">
        <v>74</v>
      </c>
      <c r="AK16" s="2"/>
      <c r="AL16" s="8" t="s">
        <v>34</v>
      </c>
      <c r="AM16" s="8">
        <v>2</v>
      </c>
      <c r="AN16" s="70">
        <v>40</v>
      </c>
      <c r="AO16" s="71"/>
      <c r="AP16" s="70">
        <v>34</v>
      </c>
      <c r="AQ16" s="71"/>
      <c r="AR16" s="8">
        <v>74</v>
      </c>
      <c r="AT16" s="2"/>
      <c r="AU16" s="8" t="s">
        <v>27</v>
      </c>
      <c r="AV16" s="8">
        <v>1</v>
      </c>
      <c r="AW16" s="70">
        <v>21</v>
      </c>
      <c r="AX16" s="71"/>
      <c r="AY16" s="70">
        <v>17</v>
      </c>
      <c r="AZ16" s="71"/>
      <c r="BA16" s="8">
        <v>38</v>
      </c>
      <c r="BC16" s="2"/>
      <c r="BD16" s="8" t="s">
        <v>27</v>
      </c>
      <c r="BE16" s="8">
        <v>1</v>
      </c>
      <c r="BF16" s="70">
        <v>21</v>
      </c>
      <c r="BG16" s="71"/>
      <c r="BH16" s="70">
        <v>17</v>
      </c>
      <c r="BI16" s="71"/>
      <c r="BJ16" s="8">
        <v>38</v>
      </c>
      <c r="BL16" s="2"/>
      <c r="BM16" s="8" t="s">
        <v>27</v>
      </c>
      <c r="BN16" s="8">
        <v>1</v>
      </c>
      <c r="BO16" s="70">
        <v>21</v>
      </c>
      <c r="BP16" s="71"/>
      <c r="BQ16" s="70">
        <v>17</v>
      </c>
      <c r="BR16" s="71"/>
      <c r="BS16" s="8">
        <v>38</v>
      </c>
    </row>
    <row r="17" spans="1:71" ht="61" customHeight="1" thickBot="1" x14ac:dyDescent="0.25">
      <c r="A17" s="2"/>
      <c r="B17" s="9" t="s">
        <v>44</v>
      </c>
      <c r="C17" s="8">
        <v>2</v>
      </c>
      <c r="D17" s="70">
        <v>44</v>
      </c>
      <c r="E17" s="71"/>
      <c r="F17" s="70">
        <v>12</v>
      </c>
      <c r="G17" s="71"/>
      <c r="H17" s="9">
        <v>56</v>
      </c>
      <c r="J17" s="2"/>
      <c r="K17" s="9" t="s">
        <v>44</v>
      </c>
      <c r="L17" s="8">
        <v>2</v>
      </c>
      <c r="M17" s="70">
        <v>40</v>
      </c>
      <c r="N17" s="71"/>
      <c r="O17" s="70">
        <v>18</v>
      </c>
      <c r="P17" s="71"/>
      <c r="Q17" s="9">
        <v>58</v>
      </c>
      <c r="S17" s="2"/>
      <c r="T17" s="8" t="s">
        <v>26</v>
      </c>
      <c r="U17" s="8">
        <v>4</v>
      </c>
      <c r="V17" s="70">
        <v>80</v>
      </c>
      <c r="W17" s="71"/>
      <c r="X17" s="70">
        <v>68</v>
      </c>
      <c r="Y17" s="71"/>
      <c r="Z17" s="8">
        <v>148</v>
      </c>
      <c r="AB17" s="2"/>
      <c r="AC17" s="8" t="s">
        <v>26</v>
      </c>
      <c r="AD17" s="8">
        <v>4</v>
      </c>
      <c r="AE17" s="70">
        <v>80</v>
      </c>
      <c r="AF17" s="71"/>
      <c r="AG17" s="70">
        <v>68</v>
      </c>
      <c r="AH17" s="71"/>
      <c r="AI17" s="8">
        <v>148</v>
      </c>
      <c r="AK17" s="2"/>
      <c r="AL17" s="8" t="s">
        <v>26</v>
      </c>
      <c r="AM17" s="8">
        <v>4</v>
      </c>
      <c r="AN17" s="70">
        <v>80</v>
      </c>
      <c r="AO17" s="71"/>
      <c r="AP17" s="70">
        <v>68</v>
      </c>
      <c r="AQ17" s="71"/>
      <c r="AR17" s="8">
        <v>148</v>
      </c>
      <c r="AT17" s="2"/>
      <c r="AU17" s="8" t="s">
        <v>80</v>
      </c>
      <c r="AV17" s="8">
        <v>1</v>
      </c>
      <c r="AW17" s="70">
        <v>21</v>
      </c>
      <c r="AX17" s="71"/>
      <c r="AY17" s="70">
        <v>17</v>
      </c>
      <c r="AZ17" s="71"/>
      <c r="BA17" s="8">
        <v>38</v>
      </c>
      <c r="BC17" s="2"/>
      <c r="BD17" s="8" t="s">
        <v>80</v>
      </c>
      <c r="BE17" s="8">
        <v>1</v>
      </c>
      <c r="BF17" s="70">
        <v>21</v>
      </c>
      <c r="BG17" s="71"/>
      <c r="BH17" s="70">
        <v>17</v>
      </c>
      <c r="BI17" s="71"/>
      <c r="BJ17" s="8">
        <v>38</v>
      </c>
      <c r="BL17" s="2"/>
      <c r="BM17" s="8" t="s">
        <v>80</v>
      </c>
      <c r="BN17" s="8">
        <v>1</v>
      </c>
      <c r="BO17" s="70">
        <v>21</v>
      </c>
      <c r="BP17" s="71"/>
      <c r="BQ17" s="70">
        <v>17</v>
      </c>
      <c r="BR17" s="71"/>
      <c r="BS17" s="8">
        <v>38</v>
      </c>
    </row>
    <row r="18" spans="1:71" ht="21" thickBot="1" x14ac:dyDescent="0.25">
      <c r="A18" s="2"/>
      <c r="B18" s="9" t="s">
        <v>23</v>
      </c>
      <c r="C18" s="8">
        <v>1</v>
      </c>
      <c r="D18" s="70">
        <v>22</v>
      </c>
      <c r="E18" s="71"/>
      <c r="F18" s="70">
        <v>6</v>
      </c>
      <c r="G18" s="71"/>
      <c r="H18" s="8">
        <v>28</v>
      </c>
      <c r="J18" s="2"/>
      <c r="K18" s="9" t="s">
        <v>23</v>
      </c>
      <c r="L18" s="8">
        <v>1</v>
      </c>
      <c r="M18" s="70">
        <v>20</v>
      </c>
      <c r="N18" s="71"/>
      <c r="O18" s="70">
        <v>9</v>
      </c>
      <c r="P18" s="71"/>
      <c r="Q18" s="8">
        <v>29</v>
      </c>
      <c r="S18" s="2"/>
      <c r="T18" s="8" t="s">
        <v>27</v>
      </c>
      <c r="U18" s="8">
        <v>1</v>
      </c>
      <c r="V18" s="70">
        <v>20</v>
      </c>
      <c r="W18" s="71"/>
      <c r="X18" s="70">
        <v>17</v>
      </c>
      <c r="Y18" s="71"/>
      <c r="Z18" s="8">
        <v>37</v>
      </c>
      <c r="AB18" s="2"/>
      <c r="AC18" s="8" t="s">
        <v>27</v>
      </c>
      <c r="AD18" s="8">
        <v>1</v>
      </c>
      <c r="AE18" s="70">
        <v>20</v>
      </c>
      <c r="AF18" s="71"/>
      <c r="AG18" s="70">
        <v>17</v>
      </c>
      <c r="AH18" s="71"/>
      <c r="AI18" s="8">
        <v>37</v>
      </c>
      <c r="AK18" s="2"/>
      <c r="AL18" s="8" t="s">
        <v>27</v>
      </c>
      <c r="AM18" s="8">
        <v>1</v>
      </c>
      <c r="AN18" s="70">
        <v>20</v>
      </c>
      <c r="AO18" s="71"/>
      <c r="AP18" s="70">
        <v>17</v>
      </c>
      <c r="AQ18" s="71"/>
      <c r="AR18" s="8">
        <v>37</v>
      </c>
      <c r="AT18" s="2"/>
      <c r="AU18" s="8" t="s">
        <v>35</v>
      </c>
      <c r="AV18" s="8">
        <v>2</v>
      </c>
      <c r="AW18" s="70">
        <v>42</v>
      </c>
      <c r="AX18" s="71"/>
      <c r="AY18" s="70">
        <v>34</v>
      </c>
      <c r="AZ18" s="71"/>
      <c r="BA18" s="8">
        <v>76</v>
      </c>
      <c r="BC18" s="2"/>
      <c r="BD18" s="8" t="s">
        <v>35</v>
      </c>
      <c r="BE18" s="8">
        <v>2</v>
      </c>
      <c r="BF18" s="70">
        <v>42</v>
      </c>
      <c r="BG18" s="71"/>
      <c r="BH18" s="70">
        <v>34</v>
      </c>
      <c r="BI18" s="71"/>
      <c r="BJ18" s="8">
        <v>76</v>
      </c>
      <c r="BL18" s="2"/>
      <c r="BM18" s="8" t="s">
        <v>35</v>
      </c>
      <c r="BN18" s="8">
        <v>2</v>
      </c>
      <c r="BO18" s="70">
        <v>42</v>
      </c>
      <c r="BP18" s="71"/>
      <c r="BQ18" s="70">
        <v>34</v>
      </c>
      <c r="BR18" s="71"/>
      <c r="BS18" s="8">
        <v>76</v>
      </c>
    </row>
    <row r="19" spans="1:71" ht="41" customHeight="1" thickBot="1" x14ac:dyDescent="0.25">
      <c r="A19" s="3"/>
      <c r="B19" s="8" t="s">
        <v>30</v>
      </c>
      <c r="C19" s="8">
        <v>1</v>
      </c>
      <c r="D19" s="70">
        <v>22</v>
      </c>
      <c r="E19" s="71"/>
      <c r="F19" s="70">
        <v>6</v>
      </c>
      <c r="G19" s="71"/>
      <c r="H19" s="8">
        <v>28</v>
      </c>
      <c r="J19" s="3"/>
      <c r="K19" s="8" t="s">
        <v>30</v>
      </c>
      <c r="L19" s="8">
        <v>1</v>
      </c>
      <c r="M19" s="70">
        <v>20</v>
      </c>
      <c r="N19" s="71"/>
      <c r="O19" s="70">
        <v>9</v>
      </c>
      <c r="P19" s="71"/>
      <c r="Q19" s="8">
        <v>29</v>
      </c>
      <c r="S19" s="2"/>
      <c r="T19" s="8" t="s">
        <v>28</v>
      </c>
      <c r="U19" s="8">
        <v>2</v>
      </c>
      <c r="V19" s="70">
        <v>40</v>
      </c>
      <c r="W19" s="71"/>
      <c r="X19" s="70">
        <v>34</v>
      </c>
      <c r="Y19" s="71"/>
      <c r="Z19" s="8">
        <v>74</v>
      </c>
      <c r="AB19" s="2"/>
      <c r="AC19" s="8" t="s">
        <v>28</v>
      </c>
      <c r="AD19" s="8">
        <v>2</v>
      </c>
      <c r="AE19" s="70">
        <v>40</v>
      </c>
      <c r="AF19" s="71"/>
      <c r="AG19" s="70">
        <v>34</v>
      </c>
      <c r="AH19" s="71"/>
      <c r="AI19" s="8">
        <v>74</v>
      </c>
      <c r="AK19" s="2"/>
      <c r="AL19" s="8" t="s">
        <v>35</v>
      </c>
      <c r="AM19" s="8">
        <v>2</v>
      </c>
      <c r="AN19" s="70">
        <v>40</v>
      </c>
      <c r="AO19" s="71"/>
      <c r="AP19" s="70">
        <v>34</v>
      </c>
      <c r="AQ19" s="71"/>
      <c r="AR19" s="8">
        <v>74</v>
      </c>
      <c r="AT19" s="2"/>
      <c r="AU19" s="8" t="s">
        <v>81</v>
      </c>
      <c r="AV19" s="8">
        <v>2</v>
      </c>
      <c r="AW19" s="70">
        <v>42</v>
      </c>
      <c r="AX19" s="71"/>
      <c r="AY19" s="70">
        <v>34</v>
      </c>
      <c r="AZ19" s="71"/>
      <c r="BA19" s="8">
        <v>76</v>
      </c>
      <c r="BC19" s="2"/>
      <c r="BD19" s="8" t="s">
        <v>81</v>
      </c>
      <c r="BE19" s="8">
        <v>2</v>
      </c>
      <c r="BF19" s="70">
        <v>42</v>
      </c>
      <c r="BG19" s="71"/>
      <c r="BH19" s="70">
        <v>34</v>
      </c>
      <c r="BI19" s="71"/>
      <c r="BJ19" s="8">
        <v>76</v>
      </c>
      <c r="BL19" s="2"/>
      <c r="BM19" s="8" t="s">
        <v>81</v>
      </c>
      <c r="BN19" s="8">
        <v>2</v>
      </c>
      <c r="BO19" s="70">
        <v>42</v>
      </c>
      <c r="BP19" s="71"/>
      <c r="BQ19" s="70">
        <v>34</v>
      </c>
      <c r="BR19" s="71"/>
      <c r="BS19" s="8">
        <v>76</v>
      </c>
    </row>
    <row r="20" spans="1:71" ht="21" thickBot="1" x14ac:dyDescent="0.25">
      <c r="H20" s="10">
        <f>SUM(H6:H19)</f>
        <v>1120</v>
      </c>
      <c r="Q20" s="10">
        <f>SUM(Q6:Q19)</f>
        <v>1160</v>
      </c>
      <c r="S20" s="2"/>
      <c r="T20" s="8" t="s">
        <v>29</v>
      </c>
      <c r="U20" s="8">
        <v>1</v>
      </c>
      <c r="V20" s="70">
        <v>20</v>
      </c>
      <c r="W20" s="71"/>
      <c r="X20" s="70">
        <v>17</v>
      </c>
      <c r="Y20" s="71"/>
      <c r="Z20" s="8">
        <v>37</v>
      </c>
      <c r="AB20" s="2"/>
      <c r="AC20" s="8" t="s">
        <v>29</v>
      </c>
      <c r="AD20" s="8">
        <v>1</v>
      </c>
      <c r="AE20" s="70">
        <v>20</v>
      </c>
      <c r="AF20" s="71"/>
      <c r="AG20" s="70">
        <v>17</v>
      </c>
      <c r="AH20" s="71"/>
      <c r="AI20" s="8">
        <v>37</v>
      </c>
      <c r="AK20" s="2"/>
      <c r="AL20" s="8" t="s">
        <v>28</v>
      </c>
      <c r="AM20" s="8">
        <v>2</v>
      </c>
      <c r="AN20" s="70">
        <v>40</v>
      </c>
      <c r="AO20" s="71"/>
      <c r="AP20" s="70">
        <v>34</v>
      </c>
      <c r="AQ20" s="71"/>
      <c r="AR20" s="8">
        <v>74</v>
      </c>
      <c r="AT20" s="2"/>
      <c r="AU20" s="8" t="s">
        <v>82</v>
      </c>
      <c r="AV20" s="8">
        <v>2</v>
      </c>
      <c r="AW20" s="70">
        <v>42</v>
      </c>
      <c r="AX20" s="71"/>
      <c r="AY20" s="70">
        <v>34</v>
      </c>
      <c r="AZ20" s="71"/>
      <c r="BA20" s="8">
        <v>76</v>
      </c>
      <c r="BC20" s="3"/>
      <c r="BD20" s="8" t="s">
        <v>29</v>
      </c>
      <c r="BE20" s="8">
        <v>1</v>
      </c>
      <c r="BF20" s="70">
        <v>21</v>
      </c>
      <c r="BG20" s="71"/>
      <c r="BH20" s="70">
        <v>17</v>
      </c>
      <c r="BI20" s="71"/>
      <c r="BJ20" s="8">
        <v>38</v>
      </c>
      <c r="BL20" s="3"/>
      <c r="BM20" s="8" t="s">
        <v>29</v>
      </c>
      <c r="BN20" s="8">
        <v>1</v>
      </c>
      <c r="BO20" s="70">
        <v>21</v>
      </c>
      <c r="BP20" s="71"/>
      <c r="BQ20" s="70">
        <v>17</v>
      </c>
      <c r="BR20" s="71"/>
      <c r="BS20" s="8">
        <v>38</v>
      </c>
    </row>
    <row r="21" spans="1:71" ht="41" thickBot="1" x14ac:dyDescent="0.25">
      <c r="S21" s="3"/>
      <c r="T21" s="8" t="s">
        <v>30</v>
      </c>
      <c r="U21" s="8">
        <v>1</v>
      </c>
      <c r="V21" s="70">
        <v>20</v>
      </c>
      <c r="W21" s="71"/>
      <c r="X21" s="70">
        <v>17</v>
      </c>
      <c r="Y21" s="71"/>
      <c r="Z21" s="8">
        <v>37</v>
      </c>
      <c r="AB21" s="3"/>
      <c r="AC21" s="8" t="s">
        <v>30</v>
      </c>
      <c r="AD21" s="8">
        <v>1</v>
      </c>
      <c r="AE21" s="70">
        <v>20</v>
      </c>
      <c r="AF21" s="71"/>
      <c r="AG21" s="70">
        <v>17</v>
      </c>
      <c r="AH21" s="71"/>
      <c r="AI21" s="8">
        <v>37</v>
      </c>
      <c r="AK21" s="3"/>
      <c r="AL21" s="8" t="s">
        <v>29</v>
      </c>
      <c r="AM21" s="8">
        <v>1</v>
      </c>
      <c r="AN21" s="70">
        <v>20</v>
      </c>
      <c r="AO21" s="71"/>
      <c r="AP21" s="70">
        <v>17</v>
      </c>
      <c r="AQ21" s="71"/>
      <c r="AR21" s="8">
        <v>37</v>
      </c>
      <c r="AT21" s="3"/>
      <c r="AU21" s="8" t="s">
        <v>29</v>
      </c>
      <c r="AV21" s="8">
        <v>1</v>
      </c>
      <c r="AW21" s="70">
        <v>21</v>
      </c>
      <c r="AX21" s="71"/>
      <c r="AY21" s="70">
        <v>17</v>
      </c>
      <c r="AZ21" s="71"/>
      <c r="BA21" s="8">
        <v>38</v>
      </c>
      <c r="BJ21" s="10">
        <f>SUM(BJ6:BJ20)</f>
        <v>1140</v>
      </c>
      <c r="BS21" s="10">
        <f>SUM(BS6:BS20)</f>
        <v>1140</v>
      </c>
    </row>
    <row r="22" spans="1:71" ht="19" x14ac:dyDescent="0.2">
      <c r="S22" s="20"/>
      <c r="T22" s="21"/>
      <c r="U22" s="21"/>
      <c r="V22" s="21"/>
      <c r="W22" s="21"/>
      <c r="X22" s="21"/>
      <c r="Y22" s="21"/>
      <c r="Z22" s="21"/>
      <c r="AB22" s="20"/>
      <c r="AC22" s="21"/>
      <c r="AD22" s="21"/>
      <c r="AE22" s="21"/>
      <c r="AF22" s="21"/>
      <c r="AG22" s="21"/>
      <c r="AH22" s="21"/>
      <c r="AI22" s="21"/>
      <c r="AK22" s="20"/>
      <c r="AL22" s="21"/>
      <c r="AM22" s="21"/>
      <c r="AN22" s="21"/>
      <c r="AO22" s="21"/>
      <c r="AP22" s="21"/>
      <c r="AQ22" s="21"/>
      <c r="AR22" s="21"/>
      <c r="BA22" s="10">
        <f>SUM(BA6:BA21)</f>
        <v>1292</v>
      </c>
    </row>
    <row r="23" spans="1:71" ht="19" x14ac:dyDescent="0.2">
      <c r="S23" s="20"/>
      <c r="T23" s="21"/>
      <c r="U23" s="21"/>
      <c r="V23" s="21"/>
      <c r="W23" s="21"/>
      <c r="X23" s="21"/>
      <c r="Y23" s="21"/>
      <c r="Z23" s="21"/>
      <c r="AB23" s="20"/>
      <c r="AC23" s="21"/>
      <c r="AD23" s="21"/>
      <c r="AE23" s="21"/>
      <c r="AF23" s="21"/>
      <c r="AG23" s="21"/>
      <c r="AH23" s="21"/>
      <c r="AI23" s="21"/>
      <c r="AK23" s="20"/>
      <c r="AL23" s="21"/>
      <c r="AM23" s="21"/>
      <c r="AN23" s="21"/>
      <c r="AO23" s="21"/>
      <c r="AP23" s="21"/>
      <c r="AQ23" s="21"/>
      <c r="AR23" s="21"/>
    </row>
    <row r="24" spans="1:71" ht="19" x14ac:dyDescent="0.2">
      <c r="S24" s="20"/>
      <c r="T24" s="21"/>
      <c r="U24" s="21"/>
      <c r="V24" s="21"/>
      <c r="W24" s="21"/>
      <c r="X24" s="21"/>
      <c r="Y24" s="21"/>
      <c r="Z24" s="21"/>
      <c r="AB24" s="20"/>
      <c r="AC24" s="21"/>
      <c r="AD24" s="21"/>
      <c r="AE24" s="21"/>
      <c r="AF24" s="21"/>
      <c r="AG24" s="21"/>
      <c r="AH24" s="21"/>
      <c r="AI24" s="21"/>
      <c r="AK24" s="20"/>
      <c r="AL24" s="21"/>
      <c r="AM24" s="21"/>
      <c r="AN24" s="21"/>
      <c r="AO24" s="21"/>
      <c r="AP24" s="21"/>
      <c r="AQ24" s="21"/>
      <c r="AR24" s="21"/>
    </row>
    <row r="25" spans="1:71" ht="19" x14ac:dyDescent="0.2">
      <c r="S25" s="20"/>
      <c r="T25" s="21"/>
      <c r="U25" s="21"/>
      <c r="V25" s="21"/>
      <c r="W25" s="21"/>
      <c r="X25" s="21"/>
      <c r="Y25" s="21"/>
      <c r="Z25" s="21"/>
      <c r="AB25" s="20"/>
      <c r="AC25" s="21"/>
      <c r="AD25" s="21"/>
      <c r="AE25" s="21"/>
      <c r="AF25" s="21"/>
      <c r="AG25" s="21"/>
      <c r="AH25" s="21"/>
      <c r="AI25" s="21"/>
      <c r="AK25" s="20"/>
      <c r="AL25" s="21"/>
      <c r="AM25" s="21"/>
      <c r="AN25" s="21"/>
      <c r="AO25" s="21"/>
      <c r="AP25" s="21"/>
      <c r="AQ25" s="21"/>
      <c r="AR25" s="21"/>
    </row>
    <row r="26" spans="1:71" ht="19" x14ac:dyDescent="0.2">
      <c r="S26" s="20"/>
      <c r="T26" s="21"/>
      <c r="U26" s="21"/>
      <c r="V26" s="21"/>
      <c r="W26" s="21"/>
      <c r="X26" s="21"/>
      <c r="Y26" s="21"/>
      <c r="Z26" s="21"/>
      <c r="AB26" s="20"/>
      <c r="AC26" s="21"/>
      <c r="AD26" s="21"/>
      <c r="AE26" s="21"/>
      <c r="AF26" s="21"/>
      <c r="AG26" s="21"/>
      <c r="AH26" s="21"/>
      <c r="AI26" s="21"/>
      <c r="AK26" s="20"/>
      <c r="AL26" s="21"/>
      <c r="AM26" s="21"/>
      <c r="AN26" s="21"/>
      <c r="AO26" s="21"/>
      <c r="AP26" s="21"/>
      <c r="AQ26" s="21"/>
      <c r="AR26" s="21"/>
    </row>
    <row r="27" spans="1:71" ht="19" x14ac:dyDescent="0.2">
      <c r="S27" s="20"/>
      <c r="T27" s="21"/>
      <c r="U27" s="21"/>
      <c r="V27" s="21"/>
      <c r="W27" s="21"/>
      <c r="X27" s="21"/>
      <c r="Y27" s="21"/>
      <c r="Z27" s="21"/>
      <c r="AB27" s="20"/>
      <c r="AC27" s="21"/>
      <c r="AD27" s="21"/>
      <c r="AE27" s="21"/>
      <c r="AF27" s="21"/>
      <c r="AG27" s="21"/>
      <c r="AH27" s="21"/>
      <c r="AI27" s="21"/>
      <c r="AK27" s="20"/>
      <c r="AL27" s="21"/>
      <c r="AM27" s="21"/>
      <c r="AN27" s="21"/>
      <c r="AO27" s="21"/>
      <c r="AP27" s="21"/>
      <c r="AQ27" s="21"/>
      <c r="AR27" s="21"/>
    </row>
    <row r="28" spans="1:71" ht="19" x14ac:dyDescent="0.2">
      <c r="S28" s="20"/>
      <c r="T28" s="21"/>
      <c r="U28" s="21"/>
      <c r="V28" s="21"/>
      <c r="W28" s="21"/>
      <c r="X28" s="21"/>
      <c r="Y28" s="21"/>
      <c r="Z28" s="21"/>
      <c r="AB28" s="20"/>
      <c r="AC28" s="21"/>
      <c r="AD28" s="21"/>
      <c r="AE28" s="21"/>
      <c r="AF28" s="21"/>
      <c r="AG28" s="21"/>
      <c r="AH28" s="21"/>
      <c r="AI28" s="21"/>
      <c r="AK28" s="20"/>
      <c r="AL28" s="21"/>
      <c r="AM28" s="21"/>
      <c r="AN28" s="21"/>
      <c r="AO28" s="21"/>
      <c r="AP28" s="21"/>
      <c r="AQ28" s="21"/>
      <c r="AR28" s="21"/>
    </row>
    <row r="29" spans="1:71" ht="19" x14ac:dyDescent="0.2">
      <c r="S29" s="20"/>
      <c r="T29" s="21"/>
      <c r="U29" s="21"/>
      <c r="V29" s="21"/>
      <c r="W29" s="21"/>
      <c r="X29" s="21"/>
      <c r="Y29" s="21"/>
      <c r="Z29" s="21"/>
      <c r="AB29" s="20"/>
      <c r="AC29" s="21"/>
      <c r="AD29" s="21"/>
      <c r="AE29" s="21"/>
      <c r="AF29" s="21"/>
      <c r="AG29" s="21"/>
      <c r="AH29" s="21"/>
      <c r="AI29" s="21"/>
      <c r="AK29" s="20"/>
      <c r="AL29" s="21"/>
      <c r="AM29" s="21"/>
      <c r="AN29" s="21"/>
      <c r="AO29" s="21"/>
      <c r="AP29" s="21"/>
      <c r="AQ29" s="21"/>
      <c r="AR29" s="21"/>
    </row>
    <row r="30" spans="1:71" ht="19" x14ac:dyDescent="0.2">
      <c r="S30" s="20"/>
      <c r="T30" s="21"/>
      <c r="U30" s="21"/>
      <c r="V30" s="21"/>
      <c r="W30" s="21"/>
      <c r="X30" s="21"/>
      <c r="Y30" s="21"/>
      <c r="Z30" s="21"/>
      <c r="AB30" s="20"/>
      <c r="AC30" s="21"/>
      <c r="AD30" s="21"/>
      <c r="AE30" s="21"/>
      <c r="AF30" s="21"/>
      <c r="AG30" s="21"/>
      <c r="AH30" s="21"/>
      <c r="AI30" s="21"/>
      <c r="AK30" s="20"/>
      <c r="AL30" s="21"/>
      <c r="AM30" s="21"/>
      <c r="AN30" s="21"/>
      <c r="AO30" s="21"/>
      <c r="AP30" s="21"/>
      <c r="AQ30" s="21"/>
      <c r="AR30" s="21"/>
    </row>
    <row r="31" spans="1:71" ht="19" x14ac:dyDescent="0.2">
      <c r="S31" s="20"/>
      <c r="T31" s="21"/>
      <c r="U31" s="21"/>
      <c r="V31" s="21"/>
      <c r="W31" s="21"/>
      <c r="X31" s="21"/>
      <c r="Y31" s="21"/>
      <c r="Z31" s="21"/>
      <c r="AB31" s="20"/>
      <c r="AC31" s="21"/>
      <c r="AD31" s="21"/>
      <c r="AE31" s="21"/>
      <c r="AF31" s="21"/>
      <c r="AG31" s="21"/>
      <c r="AH31" s="21"/>
      <c r="AI31" s="21"/>
      <c r="AK31" s="20"/>
      <c r="AL31" s="21"/>
      <c r="AM31" s="21"/>
      <c r="AN31" s="21"/>
      <c r="AO31" s="21"/>
      <c r="AP31" s="21"/>
      <c r="AQ31" s="21"/>
      <c r="AR31" s="21"/>
    </row>
    <row r="32" spans="1:71" ht="19" x14ac:dyDescent="0.2">
      <c r="S32" s="20"/>
      <c r="T32" s="21"/>
      <c r="U32" s="21"/>
      <c r="V32" s="21"/>
      <c r="W32" s="21"/>
      <c r="X32" s="21"/>
      <c r="Y32" s="21"/>
      <c r="Z32" s="21"/>
      <c r="AB32" s="20"/>
      <c r="AC32" s="21"/>
      <c r="AD32" s="21"/>
      <c r="AE32" s="21"/>
      <c r="AF32" s="21"/>
      <c r="AG32" s="21"/>
      <c r="AH32" s="21"/>
      <c r="AI32" s="21"/>
      <c r="AK32" s="20"/>
      <c r="AL32" s="21"/>
      <c r="AM32" s="21"/>
      <c r="AN32" s="21"/>
      <c r="AO32" s="21"/>
      <c r="AP32" s="21"/>
      <c r="AQ32" s="21"/>
      <c r="AR32" s="21"/>
    </row>
    <row r="33" spans="19:44" ht="19" x14ac:dyDescent="0.2">
      <c r="S33" s="20"/>
      <c r="T33" s="21"/>
      <c r="U33" s="21"/>
      <c r="V33" s="21"/>
      <c r="W33" s="21"/>
      <c r="X33" s="21"/>
      <c r="Y33" s="21"/>
      <c r="Z33" s="21"/>
      <c r="AB33" s="20"/>
      <c r="AC33" s="21"/>
      <c r="AD33" s="21"/>
      <c r="AE33" s="21"/>
      <c r="AF33" s="21"/>
      <c r="AG33" s="21"/>
      <c r="AH33" s="21"/>
      <c r="AI33" s="21"/>
      <c r="AK33" s="20"/>
      <c r="AL33" s="21"/>
      <c r="AM33" s="21"/>
      <c r="AN33" s="21"/>
      <c r="AO33" s="21"/>
      <c r="AP33" s="21"/>
      <c r="AQ33" s="21"/>
      <c r="AR33" s="21"/>
    </row>
    <row r="34" spans="19:44" ht="31" customHeight="1" x14ac:dyDescent="0.2">
      <c r="Z34" s="10">
        <f>SUM(Z6:Z21)</f>
        <v>1406</v>
      </c>
      <c r="AI34" s="10">
        <f>SUM(AI6:AI21)</f>
        <v>1406</v>
      </c>
      <c r="AR34" s="10">
        <f>SUM(AR6:AR21)</f>
        <v>1369</v>
      </c>
    </row>
    <row r="47" spans="19:44" s="10" customFormat="1" x14ac:dyDescent="0.2"/>
  </sheetData>
  <mergeCells count="292">
    <mergeCell ref="Z2:Z5"/>
    <mergeCell ref="V9:W9"/>
    <mergeCell ref="X9:Y9"/>
    <mergeCell ref="V10:W10"/>
    <mergeCell ref="X10:Y10"/>
    <mergeCell ref="V8:W8"/>
    <mergeCell ref="X8:Y8"/>
    <mergeCell ref="V16:W16"/>
    <mergeCell ref="X16:Y16"/>
    <mergeCell ref="S2:S5"/>
    <mergeCell ref="T2:T5"/>
    <mergeCell ref="U2:U5"/>
    <mergeCell ref="V2:W3"/>
    <mergeCell ref="X2:Y3"/>
    <mergeCell ref="V17:W17"/>
    <mergeCell ref="X17:Y17"/>
    <mergeCell ref="V12:W12"/>
    <mergeCell ref="X12:Y12"/>
    <mergeCell ref="V13:W13"/>
    <mergeCell ref="X13:Y13"/>
    <mergeCell ref="V14:W14"/>
    <mergeCell ref="X14:Y14"/>
    <mergeCell ref="V11:W11"/>
    <mergeCell ref="X11:Y11"/>
    <mergeCell ref="V6:W6"/>
    <mergeCell ref="X6:Y6"/>
    <mergeCell ref="V7:W7"/>
    <mergeCell ref="X7:Y7"/>
    <mergeCell ref="AG2:AH3"/>
    <mergeCell ref="AE15:AF15"/>
    <mergeCell ref="AG15:AH15"/>
    <mergeCell ref="AG8:AH8"/>
    <mergeCell ref="AE9:AF9"/>
    <mergeCell ref="AG9:AH9"/>
    <mergeCell ref="AE10:AF10"/>
    <mergeCell ref="AG10:AH10"/>
    <mergeCell ref="AE11:AF11"/>
    <mergeCell ref="AG11:AH11"/>
    <mergeCell ref="AI2:AI5"/>
    <mergeCell ref="AE6:AF6"/>
    <mergeCell ref="AG6:AH6"/>
    <mergeCell ref="AE7:AF7"/>
    <mergeCell ref="AG7:AH7"/>
    <mergeCell ref="V21:W21"/>
    <mergeCell ref="X21:Y21"/>
    <mergeCell ref="AB2:AB5"/>
    <mergeCell ref="AC2:AC5"/>
    <mergeCell ref="AD2:AD5"/>
    <mergeCell ref="AE2:AF3"/>
    <mergeCell ref="AE8:AF8"/>
    <mergeCell ref="AE12:AF12"/>
    <mergeCell ref="AE16:AF16"/>
    <mergeCell ref="AE20:AF20"/>
    <mergeCell ref="V18:W18"/>
    <mergeCell ref="X18:Y18"/>
    <mergeCell ref="V19:W19"/>
    <mergeCell ref="X19:Y19"/>
    <mergeCell ref="V20:W20"/>
    <mergeCell ref="X20:Y20"/>
    <mergeCell ref="V15:W15"/>
    <mergeCell ref="X15:Y15"/>
    <mergeCell ref="AG14:AH14"/>
    <mergeCell ref="AN2:AO3"/>
    <mergeCell ref="AP2:AQ3"/>
    <mergeCell ref="AR2:AR5"/>
    <mergeCell ref="AN6:AO6"/>
    <mergeCell ref="AP6:AQ6"/>
    <mergeCell ref="AN7:AO7"/>
    <mergeCell ref="AP7:AQ7"/>
    <mergeCell ref="AG20:AH20"/>
    <mergeCell ref="AE21:AF21"/>
    <mergeCell ref="AG21:AH21"/>
    <mergeCell ref="AK2:AK5"/>
    <mergeCell ref="AL2:AL5"/>
    <mergeCell ref="AM2:AM5"/>
    <mergeCell ref="AG16:AH16"/>
    <mergeCell ref="AE17:AF17"/>
    <mergeCell ref="AG17:AH17"/>
    <mergeCell ref="AE18:AF18"/>
    <mergeCell ref="AG18:AH18"/>
    <mergeCell ref="AE19:AF19"/>
    <mergeCell ref="AG19:AH19"/>
    <mergeCell ref="AG12:AH12"/>
    <mergeCell ref="AE13:AF13"/>
    <mergeCell ref="AG13:AH13"/>
    <mergeCell ref="AE14:AF14"/>
    <mergeCell ref="AN12:AO12"/>
    <mergeCell ref="AP12:AQ12"/>
    <mergeCell ref="AN13:AO13"/>
    <mergeCell ref="AP13:AQ13"/>
    <mergeCell ref="AN8:AO8"/>
    <mergeCell ref="AP8:AQ8"/>
    <mergeCell ref="AN9:AO9"/>
    <mergeCell ref="AP9:AQ9"/>
    <mergeCell ref="AN10:AO10"/>
    <mergeCell ref="AP10:AQ10"/>
    <mergeCell ref="AN20:AO20"/>
    <mergeCell ref="AP20:AQ20"/>
    <mergeCell ref="AN21:AO21"/>
    <mergeCell ref="AP21:AQ21"/>
    <mergeCell ref="J2:J5"/>
    <mergeCell ref="K2:K5"/>
    <mergeCell ref="L2:L5"/>
    <mergeCell ref="M2:N3"/>
    <mergeCell ref="O2:P3"/>
    <mergeCell ref="Q2:Q5"/>
    <mergeCell ref="AN17:AO17"/>
    <mergeCell ref="AP17:AQ17"/>
    <mergeCell ref="AN18:AO18"/>
    <mergeCell ref="AP18:AQ18"/>
    <mergeCell ref="AN19:AO19"/>
    <mergeCell ref="AP19:AQ19"/>
    <mergeCell ref="AN14:AO14"/>
    <mergeCell ref="AP14:AQ14"/>
    <mergeCell ref="AN15:AO15"/>
    <mergeCell ref="AP15:AQ15"/>
    <mergeCell ref="AN16:AO16"/>
    <mergeCell ref="AP16:AQ16"/>
    <mergeCell ref="AN11:AO11"/>
    <mergeCell ref="AP11:AQ11"/>
    <mergeCell ref="A2:A5"/>
    <mergeCell ref="B2:B5"/>
    <mergeCell ref="C2:C5"/>
    <mergeCell ref="D2:E3"/>
    <mergeCell ref="F2:G3"/>
    <mergeCell ref="H2:H5"/>
    <mergeCell ref="M15:N15"/>
    <mergeCell ref="O15:P15"/>
    <mergeCell ref="M16:N16"/>
    <mergeCell ref="O16:P16"/>
    <mergeCell ref="M12:N12"/>
    <mergeCell ref="O12:P12"/>
    <mergeCell ref="M13:N13"/>
    <mergeCell ref="O13:P13"/>
    <mergeCell ref="M14:N14"/>
    <mergeCell ref="O14:P14"/>
    <mergeCell ref="M9:N9"/>
    <mergeCell ref="O9:P9"/>
    <mergeCell ref="M10:N10"/>
    <mergeCell ref="O10:P10"/>
    <mergeCell ref="M11:N11"/>
    <mergeCell ref="O11:P11"/>
    <mergeCell ref="M6:N6"/>
    <mergeCell ref="O6:P6"/>
    <mergeCell ref="F6:G6"/>
    <mergeCell ref="D7:E7"/>
    <mergeCell ref="F7:G7"/>
    <mergeCell ref="D8:E8"/>
    <mergeCell ref="F8:G8"/>
    <mergeCell ref="M18:N18"/>
    <mergeCell ref="O18:P18"/>
    <mergeCell ref="M19:N19"/>
    <mergeCell ref="O19:P19"/>
    <mergeCell ref="M17:N17"/>
    <mergeCell ref="O17:P17"/>
    <mergeCell ref="M7:N7"/>
    <mergeCell ref="O7:P7"/>
    <mergeCell ref="M8:N8"/>
    <mergeCell ref="O8:P8"/>
    <mergeCell ref="BA2:BA5"/>
    <mergeCell ref="D18:E18"/>
    <mergeCell ref="F18:G18"/>
    <mergeCell ref="D19:E19"/>
    <mergeCell ref="F19:G19"/>
    <mergeCell ref="D15:E15"/>
    <mergeCell ref="F15:G15"/>
    <mergeCell ref="D16:E16"/>
    <mergeCell ref="F16:G16"/>
    <mergeCell ref="D17:E17"/>
    <mergeCell ref="F17:G17"/>
    <mergeCell ref="D12:E12"/>
    <mergeCell ref="F12:G12"/>
    <mergeCell ref="D13:E13"/>
    <mergeCell ref="F13:G13"/>
    <mergeCell ref="D14:E14"/>
    <mergeCell ref="F14:G14"/>
    <mergeCell ref="D9:E9"/>
    <mergeCell ref="F9:G9"/>
    <mergeCell ref="D10:E10"/>
    <mergeCell ref="F10:G10"/>
    <mergeCell ref="D11:E11"/>
    <mergeCell ref="F11:G11"/>
    <mergeCell ref="D6:E6"/>
    <mergeCell ref="AW6:AX6"/>
    <mergeCell ref="AY6:AZ6"/>
    <mergeCell ref="AW7:AX7"/>
    <mergeCell ref="AY7:AZ7"/>
    <mergeCell ref="AW8:AX8"/>
    <mergeCell ref="AY8:AZ8"/>
    <mergeCell ref="AT2:AT5"/>
    <mergeCell ref="AU2:AU5"/>
    <mergeCell ref="AV2:AV5"/>
    <mergeCell ref="AW2:AX3"/>
    <mergeCell ref="AY2:AZ3"/>
    <mergeCell ref="AW13:AX13"/>
    <mergeCell ref="AY13:AZ13"/>
    <mergeCell ref="AW14:AX14"/>
    <mergeCell ref="AY14:AZ14"/>
    <mergeCell ref="AW9:AX9"/>
    <mergeCell ref="AY9:AZ9"/>
    <mergeCell ref="AW10:AX10"/>
    <mergeCell ref="AY10:AZ10"/>
    <mergeCell ref="AW11:AX11"/>
    <mergeCell ref="AY11:AZ11"/>
    <mergeCell ref="AW21:AX21"/>
    <mergeCell ref="AY21:AZ21"/>
    <mergeCell ref="BC2:BC5"/>
    <mergeCell ref="BD2:BD5"/>
    <mergeCell ref="BE2:BE5"/>
    <mergeCell ref="BF2:BG3"/>
    <mergeCell ref="BF8:BG8"/>
    <mergeCell ref="BF12:BG12"/>
    <mergeCell ref="BF16:BG16"/>
    <mergeCell ref="BF20:BG20"/>
    <mergeCell ref="AW18:AX18"/>
    <mergeCell ref="AY18:AZ18"/>
    <mergeCell ref="AW19:AX19"/>
    <mergeCell ref="AY19:AZ19"/>
    <mergeCell ref="AW20:AX20"/>
    <mergeCell ref="AY20:AZ20"/>
    <mergeCell ref="AW15:AX15"/>
    <mergeCell ref="AY15:AZ15"/>
    <mergeCell ref="AW16:AX16"/>
    <mergeCell ref="AY16:AZ16"/>
    <mergeCell ref="AW17:AX17"/>
    <mergeCell ref="AY17:AZ17"/>
    <mergeCell ref="AW12:AX12"/>
    <mergeCell ref="AY12:AZ12"/>
    <mergeCell ref="BF9:BG9"/>
    <mergeCell ref="BH9:BI9"/>
    <mergeCell ref="BF10:BG10"/>
    <mergeCell ref="BH10:BI10"/>
    <mergeCell ref="BF11:BG11"/>
    <mergeCell ref="BH11:BI11"/>
    <mergeCell ref="BH2:BI3"/>
    <mergeCell ref="BJ2:BJ5"/>
    <mergeCell ref="BF6:BG6"/>
    <mergeCell ref="BH6:BI6"/>
    <mergeCell ref="BF7:BG7"/>
    <mergeCell ref="BH7:BI7"/>
    <mergeCell ref="BF17:BG17"/>
    <mergeCell ref="BH17:BI17"/>
    <mergeCell ref="BF18:BG18"/>
    <mergeCell ref="BH18:BI18"/>
    <mergeCell ref="BF19:BG19"/>
    <mergeCell ref="BH19:BI19"/>
    <mergeCell ref="BH12:BI12"/>
    <mergeCell ref="BF13:BG13"/>
    <mergeCell ref="BH13:BI13"/>
    <mergeCell ref="BF14:BG14"/>
    <mergeCell ref="BH14:BI14"/>
    <mergeCell ref="BF15:BG15"/>
    <mergeCell ref="BH15:BI15"/>
    <mergeCell ref="BH20:BI20"/>
    <mergeCell ref="BL2:BL5"/>
    <mergeCell ref="BM2:BM5"/>
    <mergeCell ref="BN2:BN5"/>
    <mergeCell ref="BO2:BP3"/>
    <mergeCell ref="BQ2:BR3"/>
    <mergeCell ref="BO9:BP9"/>
    <mergeCell ref="BQ9:BR9"/>
    <mergeCell ref="BO10:BP10"/>
    <mergeCell ref="BQ10:BR10"/>
    <mergeCell ref="BH16:BI16"/>
    <mergeCell ref="BH8:BI8"/>
    <mergeCell ref="BO11:BP11"/>
    <mergeCell ref="BQ11:BR11"/>
    <mergeCell ref="BO12:BP12"/>
    <mergeCell ref="BQ12:BR12"/>
    <mergeCell ref="BO13:BP13"/>
    <mergeCell ref="BQ13:BR13"/>
    <mergeCell ref="BS2:BS5"/>
    <mergeCell ref="BO6:BP6"/>
    <mergeCell ref="BQ6:BR6"/>
    <mergeCell ref="BO7:BP7"/>
    <mergeCell ref="BQ7:BR7"/>
    <mergeCell ref="BO8:BP8"/>
    <mergeCell ref="BQ8:BR8"/>
    <mergeCell ref="BO20:BP20"/>
    <mergeCell ref="BQ20:BR20"/>
    <mergeCell ref="BO17:BP17"/>
    <mergeCell ref="BQ17:BR17"/>
    <mergeCell ref="BO18:BP18"/>
    <mergeCell ref="BQ18:BR18"/>
    <mergeCell ref="BO19:BP19"/>
    <mergeCell ref="BQ19:BR19"/>
    <mergeCell ref="BO14:BP14"/>
    <mergeCell ref="BQ14:BR14"/>
    <mergeCell ref="BO15:BP15"/>
    <mergeCell ref="BQ15:BR15"/>
    <mergeCell ref="BO16:BP16"/>
    <mergeCell ref="BQ16:BR1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NCF summary</vt:lpstr>
      <vt:lpstr>CBSE summary</vt:lpstr>
      <vt:lpstr>RBS class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radhakrishnan</dc:creator>
  <cp:lastModifiedBy>kumar radhakrishnan</cp:lastModifiedBy>
  <cp:lastPrinted>2024-06-07T13:21:29Z</cp:lastPrinted>
  <dcterms:created xsi:type="dcterms:W3CDTF">2024-06-02T06:17:32Z</dcterms:created>
  <dcterms:modified xsi:type="dcterms:W3CDTF">2026-03-14T08:17:37Z</dcterms:modified>
</cp:coreProperties>
</file>